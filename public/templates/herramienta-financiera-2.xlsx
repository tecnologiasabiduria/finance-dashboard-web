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INGRESOS" state="visible" r:id="rId4"/>
    <sheet sheetId="2" name="GASTOS" state="visible" r:id="rId5"/>
    <sheet sheetId="3" name="INFORME MES " state="visible" r:id="rId6"/>
    <sheet sheetId="4" name="ANUAL" state="visible" r:id="rId7"/>
  </sheets>
  <definedNames>
    <definedName name="_xlnm._FilterDatabase">'INFORME MES '!$M$38:$M$55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/>
    </comment>
    <comment ref="E3" authorId="0">
      <text/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3" authorId="0">
      <text/>
    </comment>
    <comment ref="D3" authorId="0">
      <text/>
    </comment>
    <comment ref="F3" authorId="0">
      <text/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39" authorId="0">
      <text/>
    </comment>
    <comment ref="B39" authorId="0">
      <text/>
    </comment>
    <comment ref="D39" authorId="0">
      <text/>
    </comment>
    <comment ref="E39" authorId="0">
      <text/>
    </comment>
    <comment ref="F39" authorId="0">
      <text/>
    </comment>
    <comment ref="J39" authorId="0">
      <text/>
    </comment>
    <comment ref="M39" authorId="0">
      <text/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8" authorId="0">
      <text/>
    </comment>
  </commentList>
</comments>
</file>

<file path=xl/sharedStrings.xml><?xml version="1.0" encoding="utf-8"?>
<sst xmlns="http://schemas.openxmlformats.org/spreadsheetml/2006/main" count="82" uniqueCount="47">
  <si>
    <t>INGRESOS</t>
  </si>
  <si>
    <t>FECHA INGRESO</t>
  </si>
  <si>
    <t>· FACTURA Nª</t>
  </si>
  <si>
    <t>TIPO DE INGRESO</t>
  </si>
  <si>
    <t>DOCUMENTO</t>
  </si>
  <si>
    <t xml:space="preserve">NOMBRE </t>
  </si>
  <si>
    <t>DIRECCION</t>
  </si>
  <si>
    <t>CORREO</t>
  </si>
  <si>
    <t>TELEFONO</t>
  </si>
  <si>
    <t>INGRESO COP</t>
  </si>
  <si>
    <t>GASTOS</t>
  </si>
  <si>
    <t>FECHA</t>
  </si>
  <si>
    <t>PROVEEDOR</t>
  </si>
  <si>
    <t>CATEGORIA</t>
  </si>
  <si>
    <t>METODO DE PAGO</t>
  </si>
  <si>
    <t>GASTO TOTAL COP</t>
  </si>
  <si>
    <t>NOTAS</t>
  </si>
  <si>
    <t>INFORME FINANCIERO</t>
  </si>
  <si>
    <t>RESULTADO</t>
  </si>
  <si>
    <t xml:space="preserve"> INGRESO COP</t>
  </si>
  <si>
    <t>%</t>
  </si>
  <si>
    <t>CATEGORIAS</t>
  </si>
  <si>
    <t xml:space="preserve">% </t>
  </si>
  <si>
    <t>VALOR</t>
  </si>
  <si>
    <t>CARTERA</t>
  </si>
  <si>
    <t>Comisiones</t>
  </si>
  <si>
    <t>VENTA</t>
  </si>
  <si>
    <t>Herramientas</t>
  </si>
  <si>
    <t>OTRO</t>
  </si>
  <si>
    <t>Impuestos</t>
  </si>
  <si>
    <t>Nómina</t>
  </si>
  <si>
    <t>Otros</t>
  </si>
  <si>
    <t>Proveedores</t>
  </si>
  <si>
    <t>Publicidad</t>
  </si>
  <si>
    <t>Viajes</t>
  </si>
  <si>
    <t>Mentores</t>
  </si>
  <si>
    <t>Educacion</t>
  </si>
  <si>
    <t>TOTAL</t>
  </si>
  <si>
    <t>N FAC</t>
  </si>
  <si>
    <t xml:space="preserve">Docuemtno soporte </t>
  </si>
  <si>
    <t>GASTO</t>
  </si>
  <si>
    <t>ENERO</t>
  </si>
  <si>
    <t>FEBRERO</t>
  </si>
  <si>
    <t>MARZO</t>
  </si>
  <si>
    <t>ABRIL</t>
  </si>
  <si>
    <t>MAYO</t>
  </si>
  <si>
    <t>GASTOS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</si>
</sst>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_);_(&quot;$&quot;* (#,##0);_(&quot;$&quot;* &quot;-&quot;??_);_(@_)"/>
    <numFmt numFmtId="165" formatCode="_(&quot;$&quot;* #,##0.00_);_(&quot;$&quot;* (#,##0.00);_(&quot;$&quot;* &quot;-&quot;??_);_(@_)"/>
    <numFmt numFmtId="166" formatCode="d&quot; &quot;mmm&quot; &quot;yyyy"/>
    <numFmt numFmtId="167" formatCode="[$ $]#,##0"/>
    <numFmt numFmtId="168" formatCode="&quot;$&quot;#,##0"/>
    <numFmt numFmtId="169" formatCode="d mmmm yyyy"/>
  </numFmts>
  <fonts count="23" x14ac:knownFonts="1">
    <font>
      <color theme="1"/>
      <family val="2"/>
      <scheme val="minor"/>
      <sz val="11"/>
      <name val="Calibri"/>
    </font>
    <font>
      <b/>
      <color rgb="FFFFFFFF"/>
      <sz val="19"/>
      <name val="Poppins"/>
    </font>
    <font>
      <color theme="1"/>
      <name val="Arial"/>
    </font>
    <font>
      <b/>
      <color rgb="FFFFFFFF"/>
      <sz val="9"/>
      <name val="Poppins"/>
    </font>
    <font>
      <color theme="1"/>
      <sz val="9"/>
      <name val="Arial"/>
    </font>
    <font>
      <color theme="1"/>
      <sz val="8"/>
      <name val="Poppins"/>
    </font>
    <font>
      <color rgb="FF1D1C1D"/>
      <sz val="8"/>
      <name val="Poppins"/>
    </font>
    <font>
      <b/>
      <color rgb="FFFFFFFF"/>
      <sz val="19"/>
      <name val="Arial"/>
    </font>
    <font/>
    <font>
      <color theme="1"/>
      <name val="Poppins"/>
    </font>
    <font>
      <b/>
      <color rgb="FFFFFFFF"/>
      <name val="Poppins"/>
    </font>
    <font>
      <b/>
      <color rgb="FFFFFFFF"/>
      <sz val="26"/>
      <name val="Poppins"/>
    </font>
    <font>
      <b/>
      <color rgb="FFFFFFFF"/>
      <sz val="18"/>
      <name val="Poppins"/>
    </font>
    <font>
      <color theme="1"/>
      <sz val="12"/>
      <name val="Poppins"/>
    </font>
    <font>
      <color rgb="FFFFFFFF"/>
      <sz val="11"/>
      <name val="Poppins"/>
    </font>
    <font>
      <color rgb="FFFFFFFF"/>
      <sz val="12"/>
      <name val="Poppins"/>
    </font>
    <font>
      <color theme="1"/>
      <sz val="10"/>
      <name val="Poppins"/>
    </font>
    <font>
      <color theme="1"/>
      <sz val="15"/>
      <name val="Poppins"/>
    </font>
    <font>
      <b/>
      <color rgb="FFFFFFFF"/>
      <sz val="15"/>
      <name val="Poppins"/>
    </font>
    <font>
      <b/>
      <color rgb="FFFFFFFF"/>
      <sz val="10"/>
      <name val="Poppins"/>
    </font>
    <font>
      <color rgb="FFFFFFFF"/>
      <sz val="10"/>
      <name val="Poppins"/>
    </font>
    <font>
      <color theme="1"/>
      <sz val="11"/>
      <name val="Poppins"/>
    </font>
    <font>
      <b/>
      <color rgb="FFFFFFFF"/>
      <sz val="11"/>
      <name val="Poppins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A9FEA"/>
        <bgColor rgb="FFCA9FEA"/>
      </patternFill>
    </fill>
    <fill>
      <patternFill patternType="solid">
        <fgColor rgb="FFE7C7FF"/>
        <bgColor rgb="FFE7C7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center" vertical="center" wrapText="1" readingOrder="1"/>
    </xf>
    <xf numFmtId="0" fontId="2" fillId="3" borderId="0" xfId="0" applyFont="1" applyFill="1"/>
    <xf numFmtId="4" fontId="2" fillId="3" borderId="0" xfId="0" applyNumberFormat="1" applyFont="1" applyFill="1"/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readingOrder="1"/>
    </xf>
    <xf numFmtId="0" fontId="4" fillId="3" borderId="0" xfId="0" applyFont="1" applyFill="1"/>
    <xf numFmtId="16" fontId="5" fillId="4" borderId="2" xfId="0" applyNumberFormat="1" applyFont="1" applyFill="1" applyBorder="1" applyAlignment="1">
      <alignment readingOrder="1"/>
    </xf>
    <xf numFmtId="49" fontId="5" fillId="3" borderId="2" xfId="0" applyNumberFormat="1" applyFont="1" applyFill="1" applyBorder="1" applyAlignment="1">
      <alignment wrapText="1"/>
    </xf>
    <xf numFmtId="49" fontId="5" fillId="0" borderId="2" xfId="0" applyNumberFormat="1" applyFont="1" applyBorder="1" applyAlignment="1">
      <alignment vertical="bottom" wrapText="1" readingOrder="1"/>
    </xf>
    <xf numFmtId="4" fontId="5" fillId="0" borderId="2" xfId="0" applyNumberFormat="1" applyFont="1" applyBorder="1" applyAlignment="1">
      <alignment readingOrder="1"/>
    </xf>
    <xf numFmtId="164" fontId="5" fillId="0" borderId="2" xfId="0" applyNumberFormat="1" applyFont="1" applyBorder="1" applyAlignment="1">
      <alignment readingOrder="1"/>
    </xf>
    <xf numFmtId="165" fontId="5" fillId="0" borderId="2" xfId="0" applyNumberFormat="1" applyFont="1" applyBorder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5" fillId="5" borderId="2" xfId="0" applyNumberFormat="1" applyFont="1" applyFill="1" applyBorder="1" applyAlignment="1">
      <alignment readingOrder="1"/>
    </xf>
    <xf numFmtId="0" fontId="2" fillId="3" borderId="0" xfId="0" applyFont="1" applyFill="1" applyAlignment="1">
      <alignment readingOrder="1"/>
    </xf>
    <xf numFmtId="4" fontId="5" fillId="0" borderId="2" xfId="0" applyNumberFormat="1" applyFont="1" applyBorder="1"/>
    <xf numFmtId="164" fontId="5" fillId="0" borderId="2" xfId="0" applyNumberFormat="1" applyFont="1" applyBorder="1"/>
    <xf numFmtId="0" fontId="5" fillId="3" borderId="0" xfId="0" applyFont="1" applyFill="1"/>
    <xf numFmtId="166" fontId="5" fillId="4" borderId="2" xfId="0" applyNumberFormat="1" applyFont="1" applyFill="1" applyBorder="1"/>
    <xf numFmtId="0" fontId="6" fillId="3" borderId="0" xfId="0" applyFont="1" applyFill="1"/>
    <xf numFmtId="0" fontId="7" fillId="2" borderId="3" xfId="0" applyFont="1" applyFill="1" applyBorder="1" applyAlignment="1">
      <alignment horizontal="center" vertical="center" readingOrder="1"/>
    </xf>
    <xf numFmtId="0" fontId="8" fillId="0" borderId="4" xfId="0" applyFont="1" applyBorder="1"/>
    <xf numFmtId="0" fontId="8" fillId="0" borderId="5" xfId="0" applyFont="1" applyBorder="1"/>
    <xf numFmtId="0" fontId="2" fillId="0" borderId="0" xfId="0" applyFont="1"/>
    <xf numFmtId="0" fontId="2" fillId="0" borderId="6" xfId="0" applyFont="1" applyBorder="1"/>
    <xf numFmtId="3" fontId="2" fillId="0" borderId="6" xfId="0" applyNumberFormat="1" applyFont="1" applyBorder="1"/>
    <xf numFmtId="165" fontId="2" fillId="0" borderId="0" xfId="0" applyNumberFormat="1" applyFont="1"/>
    <xf numFmtId="167" fontId="9" fillId="6" borderId="0" xfId="0" applyNumberFormat="1" applyFont="1" applyFill="1" applyAlignment="1">
      <alignment horizontal="center"/>
    </xf>
    <xf numFmtId="0" fontId="2" fillId="0" borderId="7" xfId="0" applyFont="1" applyBorder="1"/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vertical="center" wrapText="1"/>
    </xf>
    <xf numFmtId="167" fontId="10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6" fontId="9" fillId="4" borderId="2" xfId="0" applyNumberFormat="1" applyFont="1" applyFill="1" applyBorder="1" applyAlignment="1">
      <alignment horizontal="center" vertical="bottom" readingOrder="1"/>
    </xf>
    <xf numFmtId="49" fontId="2" fillId="0" borderId="2" xfId="0" applyNumberFormat="1" applyFont="1" applyBorder="1"/>
    <xf numFmtId="0" fontId="2" fillId="0" borderId="2" xfId="0" applyFont="1" applyBorder="1"/>
    <xf numFmtId="0" fontId="2" fillId="5" borderId="2" xfId="0" applyFont="1" applyFill="1" applyBorder="1" applyAlignment="1">
      <alignment readingOrder="1"/>
    </xf>
    <xf numFmtId="0" fontId="9" fillId="0" borderId="2" xfId="0" applyFont="1" applyBorder="1" applyAlignment="1">
      <alignment readingOrder="1"/>
    </xf>
    <xf numFmtId="167" fontId="2" fillId="5" borderId="2" xfId="0" applyNumberFormat="1" applyFont="1" applyFill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5" borderId="2" xfId="0" applyFont="1" applyFill="1" applyBorder="1"/>
    <xf numFmtId="0" fontId="9" fillId="0" borderId="2" xfId="0" applyFont="1" applyBorder="1"/>
    <xf numFmtId="167" fontId="2" fillId="5" borderId="2" xfId="0" applyNumberFormat="1" applyFont="1" applyFill="1" applyBorder="1"/>
    <xf numFmtId="166" fontId="2" fillId="4" borderId="2" xfId="0" applyNumberFormat="1" applyFont="1" applyFill="1" applyBorder="1"/>
    <xf numFmtId="166" fontId="9" fillId="4" borderId="2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 readingOrder="1"/>
    </xf>
    <xf numFmtId="0" fontId="9" fillId="0" borderId="0" xfId="0" applyFont="1"/>
    <xf numFmtId="0" fontId="9" fillId="0" borderId="0" xfId="0" applyFont="1" applyAlignment="1">
      <alignment wrapText="1"/>
    </xf>
    <xf numFmtId="0" fontId="12" fillId="2" borderId="0" xfId="0" applyFont="1" applyFill="1" applyAlignment="1">
      <alignment horizontal="center" vertical="center" readingOrder="1"/>
    </xf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67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9" fillId="0" borderId="0" xfId="0" applyFont="1" applyAlignment="1">
      <alignment readingOrder="1"/>
    </xf>
    <xf numFmtId="0" fontId="10" fillId="2" borderId="2" xfId="0" applyFont="1" applyFill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168" fontId="13" fillId="3" borderId="2" xfId="0" applyNumberFormat="1" applyFont="1" applyFill="1" applyBorder="1" applyAlignment="1">
      <alignment horizontal="center" vertical="bottom"/>
    </xf>
    <xf numFmtId="10" fontId="9" fillId="0" borderId="0" xfId="0" applyNumberFormat="1" applyFont="1" applyAlignment="1">
      <alignment readingOrder="1"/>
    </xf>
    <xf numFmtId="0" fontId="9" fillId="3" borderId="2" xfId="0" applyFont="1" applyFill="1" applyBorder="1" applyAlignment="1">
      <alignment readingOrder="1"/>
    </xf>
    <xf numFmtId="9" fontId="13" fillId="3" borderId="2" xfId="0" applyNumberFormat="1" applyFont="1" applyFill="1" applyBorder="1" applyAlignment="1">
      <alignment horizontal="center"/>
    </xf>
    <xf numFmtId="0" fontId="9" fillId="2" borderId="2" xfId="0" applyFont="1" applyFill="1" applyBorder="1"/>
    <xf numFmtId="168" fontId="14" fillId="2" borderId="2" xfId="0" applyNumberFormat="1" applyFont="1" applyFill="1" applyBorder="1" applyAlignment="1">
      <alignment horizontal="center"/>
    </xf>
    <xf numFmtId="168" fontId="13" fillId="3" borderId="2" xfId="0" applyNumberFormat="1" applyFont="1" applyFill="1" applyBorder="1" applyAlignment="1">
      <alignment horizontal="right"/>
    </xf>
    <xf numFmtId="0" fontId="15" fillId="2" borderId="2" xfId="0" applyFont="1" applyFill="1" applyBorder="1" applyAlignment="1">
      <alignment horizontal="center" vertical="bottom"/>
    </xf>
    <xf numFmtId="10" fontId="15" fillId="2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bottom" wrapText="1"/>
    </xf>
    <xf numFmtId="0" fontId="10" fillId="2" borderId="0" xfId="0" applyFont="1" applyFill="1" applyAlignment="1">
      <alignment horizontal="center" vertical="center" readingOrder="1"/>
    </xf>
    <xf numFmtId="169" fontId="5" fillId="4" borderId="12" xfId="0" applyNumberFormat="1" applyFont="1" applyFill="1" applyBorder="1" applyAlignment="1">
      <alignment horizontal="right" vertical="bottom"/>
    </xf>
    <xf numFmtId="49" fontId="5" fillId="0" borderId="2" xfId="0" applyNumberFormat="1" applyFont="1" applyBorder="1" applyAlignment="1">
      <alignment vertical="bottom" wrapText="1"/>
    </xf>
    <xf numFmtId="164" fontId="5" fillId="0" borderId="2" xfId="0" applyNumberFormat="1" applyFont="1" applyBorder="1" applyAlignment="1">
      <alignment vertical="bottom" readingOrder="1"/>
    </xf>
    <xf numFmtId="0" fontId="9" fillId="0" borderId="2" xfId="0" applyFont="1" applyBorder="1" applyAlignment="1">
      <alignment vertical="bottom" readingOrder="1"/>
    </xf>
    <xf numFmtId="164" fontId="5" fillId="5" borderId="2" xfId="0" applyNumberFormat="1" applyFont="1" applyFill="1" applyBorder="1" applyAlignment="1">
      <alignment horizontal="right" vertical="bottom" readingOrder="1"/>
    </xf>
    <xf numFmtId="49" fontId="9" fillId="0" borderId="2" xfId="0" applyNumberFormat="1" applyFont="1" applyBorder="1" applyAlignment="1">
      <alignment vertical="bottom"/>
    </xf>
    <xf numFmtId="0" fontId="9" fillId="0" borderId="2" xfId="0" applyFont="1" applyBorder="1" applyAlignment="1">
      <alignment horizontal="center" vertical="bottom" readingOrder="1"/>
    </xf>
    <xf numFmtId="167" fontId="9" fillId="0" borderId="2" xfId="0" applyNumberFormat="1" applyFont="1" applyBorder="1" applyAlignment="1">
      <alignment horizontal="center" vertical="bottom"/>
    </xf>
    <xf numFmtId="167" fontId="9" fillId="5" borderId="2" xfId="0" applyNumberFormat="1" applyFont="1" applyFill="1" applyBorder="1" applyAlignment="1">
      <alignment horizontal="center" vertical="bottom" readingOrder="1"/>
    </xf>
    <xf numFmtId="164" fontId="5" fillId="5" borderId="2" xfId="0" applyNumberFormat="1" applyFont="1" applyFill="1" applyBorder="1" applyAlignment="1">
      <alignment horizontal="right" vertical="bottom"/>
    </xf>
    <xf numFmtId="0" fontId="9" fillId="0" borderId="2" xfId="0" applyFont="1" applyBorder="1" applyAlignment="1">
      <alignment vertical="bottom"/>
    </xf>
    <xf numFmtId="164" fontId="9" fillId="3" borderId="2" xfId="0" applyNumberFormat="1" applyFont="1" applyFill="1" applyBorder="1" applyAlignment="1">
      <alignment vertical="bottom"/>
    </xf>
    <xf numFmtId="166" fontId="9" fillId="4" borderId="2" xfId="0" applyNumberFormat="1" applyFont="1" applyFill="1" applyBorder="1" applyAlignment="1">
      <alignment vertical="bottom"/>
    </xf>
    <xf numFmtId="164" fontId="9" fillId="5" borderId="2" xfId="0" applyNumberFormat="1" applyFont="1" applyFill="1" applyBorder="1" applyAlignment="1">
      <alignment vertical="bottom"/>
    </xf>
    <xf numFmtId="164" fontId="9" fillId="7" borderId="2" xfId="0" applyNumberFormat="1" applyFont="1" applyFill="1" applyBorder="1" applyAlignment="1">
      <alignment vertical="bottom"/>
    </xf>
    <xf numFmtId="164" fontId="9" fillId="0" borderId="2" xfId="0" applyNumberFormat="1" applyFont="1" applyBorder="1" applyAlignment="1">
      <alignment vertical="bottom"/>
    </xf>
    <xf numFmtId="164" fontId="9" fillId="0" borderId="0" xfId="0" applyNumberFormat="1" applyFont="1"/>
    <xf numFmtId="167" fontId="9" fillId="0" borderId="0" xfId="0" applyNumberFormat="1" applyFont="1"/>
    <xf numFmtId="0" fontId="16" fillId="0" borderId="0" xfId="0" applyFont="1"/>
    <xf numFmtId="0" fontId="17" fillId="0" borderId="0" xfId="0" applyFont="1"/>
    <xf numFmtId="0" fontId="18" fillId="2" borderId="8" xfId="0" applyFont="1" applyFill="1" applyBorder="1" applyAlignment="1">
      <alignment horizontal="center" vertical="center" readingOrder="1"/>
    </xf>
    <xf numFmtId="0" fontId="16" fillId="0" borderId="0" xfId="0" applyFont="1" applyAlignment="1">
      <alignment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 readingOrder="1"/>
    </xf>
    <xf numFmtId="49" fontId="16" fillId="0" borderId="2" xfId="0" applyNumberFormat="1" applyFont="1" applyBorder="1" applyAlignment="1">
      <alignment vertical="bottom" wrapText="1" readingOrder="1"/>
    </xf>
    <xf numFmtId="168" fontId="16" fillId="3" borderId="2" xfId="0" applyNumberFormat="1" applyFont="1" applyFill="1" applyBorder="1" applyAlignment="1">
      <alignment horizontal="center" vertical="bottom"/>
    </xf>
    <xf numFmtId="0" fontId="16" fillId="2" borderId="2" xfId="0" applyFont="1" applyFill="1" applyBorder="1"/>
    <xf numFmtId="168" fontId="20" fillId="2" borderId="2" xfId="0" applyNumberFormat="1" applyFont="1" applyFill="1" applyBorder="1" applyAlignment="1">
      <alignment horizontal="center"/>
    </xf>
    <xf numFmtId="0" fontId="18" fillId="2" borderId="0" xfId="0" applyFont="1" applyFill="1" applyAlignment="1">
      <alignment horizontal="center" readingOrder="1"/>
    </xf>
    <xf numFmtId="0" fontId="21" fillId="0" borderId="0" xfId="0" applyFont="1"/>
    <xf numFmtId="0" fontId="22" fillId="2" borderId="11" xfId="0" applyFont="1" applyFill="1" applyBorder="1" applyAlignment="1">
      <alignment horizontal="center" vertical="bottom" wrapText="1" readingOrder="1"/>
    </xf>
    <xf numFmtId="0" fontId="16" fillId="3" borderId="2" xfId="0" applyFont="1" applyFill="1" applyBorder="1" applyAlignment="1">
      <alignment readingOrder="1"/>
    </xf>
    <xf numFmtId="168" fontId="16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3" borderId="2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F48:H49" totalsRowShown="1" headerRowCount="0">
  <autoFilter>
    <filterColumn colId="0" hiddenButton="1"/>
    <filterColumn colId="1" hiddenButton="1"/>
    <filterColumn colId="2" hiddenButton="1"/>
  </autoFilter>
  <tableColumns count="3">
    <tableColumn id="1" name="Column1"/>
    <tableColumn id="2" name="Column2"/>
    <tableColumn id="3" name="Column3"/>
  </tableColumns>
  <tableStyleInfo name="INFORME MES 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4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5.88" customWidth="1"/>
    <col min="5" max="5" width="30.63" customWidth="1"/>
    <col min="6" max="8" width="12.63" hidden="1" customWidth="1"/>
    <col min="9" max="9" width="24.13" customWidth="1"/>
  </cols>
  <sheetData>
    <row r="1" ht="36" customHeight="1" spans="1:20" x14ac:dyDescent="0.25">
      <c r="A1" s="1" t="s">
        <v>0</v>
      </c>
      <c r="B1"/>
      <c r="C1"/>
      <c r="D1"/>
      <c r="E1"/>
      <c r="F1"/>
      <c r="G1"/>
      <c r="H1"/>
      <c r="I1"/>
      <c r="J1" s="2"/>
      <c r="K1" s="2"/>
      <c r="L1" s="2"/>
      <c r="M1" s="2"/>
      <c r="N1" s="2"/>
      <c r="O1" s="2"/>
      <c r="P1" s="2"/>
    </row>
    <row r="2" spans="1:20" x14ac:dyDescent="0.25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8.5" customHeight="1" spans="1:20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7"/>
      <c r="K3" s="8"/>
      <c r="L3" s="8"/>
      <c r="M3" s="8"/>
      <c r="N3" s="8"/>
      <c r="O3" s="8"/>
      <c r="P3" s="8"/>
    </row>
    <row r="4" spans="1:20" x14ac:dyDescent="0.25">
      <c r="A4" s="9"/>
      <c r="B4" s="10"/>
      <c r="C4" s="11"/>
      <c r="D4" s="12"/>
      <c r="E4" s="13"/>
      <c r="F4" s="14"/>
      <c r="G4" s="15"/>
      <c r="H4" s="16"/>
      <c r="I4" s="17"/>
      <c r="J4" s="18"/>
      <c r="K4" s="2"/>
      <c r="L4" s="2"/>
      <c r="M4" s="2"/>
      <c r="N4" s="2"/>
      <c r="O4" s="2"/>
      <c r="P4" s="2"/>
    </row>
    <row r="5" spans="1:20" x14ac:dyDescent="0.25">
      <c r="A5" s="9"/>
      <c r="B5" s="10"/>
      <c r="C5" s="11"/>
      <c r="D5" s="19"/>
      <c r="E5" s="20"/>
      <c r="F5" s="14"/>
      <c r="G5" s="15"/>
      <c r="H5" s="16"/>
      <c r="I5" s="17"/>
      <c r="J5" s="18"/>
      <c r="K5" s="2"/>
      <c r="L5" s="2"/>
      <c r="M5" s="2"/>
      <c r="N5" s="2"/>
      <c r="O5" s="2"/>
      <c r="P5" s="2"/>
    </row>
    <row r="6" spans="1:20" x14ac:dyDescent="0.25">
      <c r="A6" s="9"/>
      <c r="B6" s="10"/>
      <c r="C6" s="11"/>
      <c r="D6" s="19"/>
      <c r="E6" s="20"/>
      <c r="F6" s="14"/>
      <c r="G6" s="15"/>
      <c r="H6" s="16"/>
      <c r="I6" s="17"/>
      <c r="J6" s="2"/>
      <c r="K6" s="2"/>
      <c r="L6" s="2"/>
      <c r="M6" s="2"/>
      <c r="N6" s="2"/>
      <c r="O6" s="2"/>
      <c r="P6" s="2"/>
    </row>
    <row r="7" spans="1:20" x14ac:dyDescent="0.25">
      <c r="A7" s="9"/>
      <c r="B7" s="10"/>
      <c r="C7" s="11"/>
      <c r="D7" s="19"/>
      <c r="E7" s="20"/>
      <c r="F7" s="14"/>
      <c r="G7" s="15"/>
      <c r="H7" s="16"/>
      <c r="I7" s="17"/>
      <c r="J7" s="2"/>
      <c r="K7" s="2"/>
      <c r="L7" s="2"/>
      <c r="M7" s="2"/>
      <c r="N7" s="2"/>
      <c r="O7" s="2"/>
      <c r="P7" s="2"/>
    </row>
    <row r="8" spans="1:20" x14ac:dyDescent="0.25">
      <c r="A8" s="9"/>
      <c r="B8" s="10"/>
      <c r="C8" s="11"/>
      <c r="D8" s="19"/>
      <c r="E8" s="20"/>
      <c r="F8" s="14"/>
      <c r="G8" s="15"/>
      <c r="H8" s="16"/>
      <c r="I8" s="17"/>
      <c r="J8" s="2"/>
      <c r="K8" s="2"/>
      <c r="L8" s="2"/>
      <c r="M8" s="2"/>
      <c r="N8" s="2"/>
      <c r="O8" s="2"/>
      <c r="P8" s="2"/>
    </row>
    <row r="9" spans="1:20" x14ac:dyDescent="0.25">
      <c r="A9" s="9"/>
      <c r="B9" s="10"/>
      <c r="C9" s="11"/>
      <c r="D9" s="19"/>
      <c r="E9" s="13"/>
      <c r="F9" s="14"/>
      <c r="G9" s="15"/>
      <c r="H9" s="16"/>
      <c r="I9" s="17"/>
      <c r="J9" s="2"/>
      <c r="K9" s="2"/>
      <c r="L9" s="2"/>
      <c r="M9" s="2"/>
      <c r="N9" s="2"/>
      <c r="O9" s="2"/>
      <c r="P9" s="2"/>
    </row>
    <row r="10" spans="1:20" x14ac:dyDescent="0.25">
      <c r="A10" s="9"/>
      <c r="B10" s="10"/>
      <c r="C10" s="11"/>
      <c r="D10" s="19"/>
      <c r="E10" s="13"/>
      <c r="F10" s="14"/>
      <c r="G10" s="15"/>
      <c r="H10" s="16"/>
      <c r="I10" s="17"/>
      <c r="J10" s="2"/>
      <c r="K10" s="2"/>
      <c r="L10" s="2"/>
      <c r="M10" s="2"/>
      <c r="N10" s="2"/>
      <c r="O10" s="2"/>
      <c r="P10" s="2"/>
    </row>
    <row r="11" spans="1:16" x14ac:dyDescent="0.25">
      <c r="A11" s="9"/>
      <c r="B11" s="10"/>
      <c r="C11" s="11"/>
      <c r="D11" s="19"/>
      <c r="E11" s="13"/>
      <c r="F11" s="14"/>
      <c r="G11" s="15"/>
      <c r="H11" s="16"/>
      <c r="I11" s="17"/>
      <c r="J11" s="2"/>
      <c r="K11" s="2"/>
      <c r="L11" s="2"/>
      <c r="M11" s="2"/>
      <c r="N11" s="2"/>
      <c r="O11" s="2"/>
      <c r="P11" s="2"/>
    </row>
    <row r="12" spans="1:16" x14ac:dyDescent="0.25">
      <c r="A12" s="9"/>
      <c r="B12" s="10"/>
      <c r="C12" s="11"/>
      <c r="D12" s="19"/>
      <c r="E12" s="20"/>
      <c r="F12" s="14"/>
      <c r="G12" s="15"/>
      <c r="H12" s="16"/>
      <c r="I12" s="17"/>
      <c r="J12" s="21"/>
      <c r="K12" s="21"/>
      <c r="L12" s="21"/>
      <c r="M12" s="21"/>
      <c r="N12" s="21"/>
      <c r="O12" s="21"/>
      <c r="P12" s="21"/>
    </row>
    <row r="13" spans="1:16" x14ac:dyDescent="0.25">
      <c r="A13" s="22"/>
      <c r="B13" s="10"/>
      <c r="C13" s="11"/>
      <c r="D13" s="19"/>
      <c r="E13" s="20"/>
      <c r="F13" s="14"/>
      <c r="G13" s="15"/>
      <c r="H13" s="16"/>
      <c r="I13" s="17"/>
      <c r="J13" s="2"/>
      <c r="K13" s="2"/>
      <c r="L13" s="2"/>
      <c r="M13" s="2"/>
      <c r="N13" s="2"/>
      <c r="O13" s="2"/>
      <c r="P13" s="2"/>
    </row>
    <row r="14" spans="1:16" x14ac:dyDescent="0.25">
      <c r="A14" s="22"/>
      <c r="B14" s="10"/>
      <c r="C14" s="11"/>
      <c r="D14" s="19"/>
      <c r="E14" s="20"/>
      <c r="F14" s="14"/>
      <c r="G14" s="15"/>
      <c r="H14" s="16"/>
      <c r="I14" s="17"/>
      <c r="J14" s="2"/>
      <c r="K14" s="2"/>
      <c r="L14" s="2"/>
      <c r="M14" s="2"/>
      <c r="N14" s="2"/>
      <c r="O14" s="2"/>
      <c r="P14" s="2"/>
    </row>
    <row r="15" spans="1:16" x14ac:dyDescent="0.25">
      <c r="A15" s="22"/>
      <c r="B15" s="10"/>
      <c r="C15" s="11"/>
      <c r="D15" s="19"/>
      <c r="E15" s="20"/>
      <c r="F15" s="14"/>
      <c r="G15" s="15"/>
      <c r="H15" s="16"/>
      <c r="I15" s="17"/>
      <c r="J15" s="2"/>
      <c r="K15" s="2"/>
      <c r="L15" s="2"/>
      <c r="M15" s="2"/>
      <c r="N15" s="2"/>
      <c r="O15" s="2"/>
      <c r="P15" s="2"/>
    </row>
    <row r="16" spans="1:16" x14ac:dyDescent="0.25">
      <c r="A16" s="22"/>
      <c r="B16" s="10"/>
      <c r="C16" s="11"/>
      <c r="D16" s="19"/>
      <c r="E16" s="20"/>
      <c r="F16" s="14"/>
      <c r="G16" s="15"/>
      <c r="H16" s="16"/>
      <c r="I16" s="17"/>
      <c r="J16" s="2"/>
      <c r="K16" s="2"/>
      <c r="L16" s="2"/>
      <c r="M16" s="2"/>
      <c r="N16" s="2"/>
      <c r="O16" s="2"/>
      <c r="P16" s="2"/>
    </row>
    <row r="17" spans="1:16" x14ac:dyDescent="0.25">
      <c r="A17" s="22"/>
      <c r="B17" s="10"/>
      <c r="C17" s="11"/>
      <c r="D17" s="19"/>
      <c r="E17" s="20"/>
      <c r="F17" s="14"/>
      <c r="G17" s="15"/>
      <c r="H17" s="16"/>
      <c r="I17" s="17"/>
      <c r="J17" s="2"/>
      <c r="K17" s="2"/>
      <c r="L17" s="2"/>
      <c r="M17" s="2"/>
      <c r="N17" s="2"/>
      <c r="O17" s="2"/>
      <c r="P17" s="2"/>
    </row>
    <row r="18" spans="1:16" x14ac:dyDescent="0.25">
      <c r="A18" s="22"/>
      <c r="B18" s="10"/>
      <c r="C18" s="11"/>
      <c r="D18" s="19"/>
      <c r="E18" s="20"/>
      <c r="F18" s="14"/>
      <c r="G18" s="15"/>
      <c r="H18" s="16"/>
      <c r="I18" s="17"/>
      <c r="J18" s="2"/>
      <c r="K18" s="2"/>
      <c r="L18" s="2"/>
      <c r="M18" s="2"/>
      <c r="N18" s="2"/>
      <c r="O18" s="2"/>
      <c r="P18" s="2"/>
    </row>
    <row r="19" spans="1:16" x14ac:dyDescent="0.25">
      <c r="A19" s="22"/>
      <c r="B19" s="10"/>
      <c r="C19" s="11"/>
      <c r="D19" s="19"/>
      <c r="E19" s="20"/>
      <c r="F19" s="14"/>
      <c r="G19" s="15"/>
      <c r="H19" s="16"/>
      <c r="I19" s="17"/>
      <c r="J19" s="2"/>
      <c r="K19" s="2"/>
      <c r="L19" s="2"/>
      <c r="M19" s="2"/>
      <c r="N19" s="2"/>
      <c r="O19" s="2"/>
      <c r="P19" s="2"/>
    </row>
    <row r="20" spans="1:16" x14ac:dyDescent="0.25">
      <c r="A20" s="22"/>
      <c r="B20" s="10"/>
      <c r="C20" s="11"/>
      <c r="D20" s="19"/>
      <c r="E20" s="20"/>
      <c r="F20" s="14"/>
      <c r="G20" s="15"/>
      <c r="H20" s="16"/>
      <c r="I20" s="17"/>
      <c r="J20" s="2"/>
      <c r="K20" s="2"/>
      <c r="L20" s="2"/>
      <c r="M20" s="2"/>
      <c r="N20" s="2"/>
      <c r="O20" s="2"/>
      <c r="P20" s="2"/>
    </row>
    <row r="21" spans="1:16" x14ac:dyDescent="0.25">
      <c r="A21" s="22"/>
      <c r="B21" s="10"/>
      <c r="C21" s="11"/>
      <c r="D21" s="19"/>
      <c r="E21" s="20"/>
      <c r="F21" s="14"/>
      <c r="G21" s="15"/>
      <c r="H21" s="16"/>
      <c r="I21" s="17"/>
      <c r="J21" s="2"/>
      <c r="K21" s="2"/>
      <c r="L21" s="2"/>
      <c r="M21" s="2"/>
      <c r="N21" s="2"/>
      <c r="O21" s="2"/>
      <c r="P21" s="2"/>
    </row>
    <row r="22" spans="1:16" x14ac:dyDescent="0.25">
      <c r="A22" s="22"/>
      <c r="B22" s="10"/>
      <c r="C22" s="11"/>
      <c r="D22" s="19"/>
      <c r="E22" s="20"/>
      <c r="F22" s="14"/>
      <c r="G22" s="15"/>
      <c r="H22" s="16"/>
      <c r="I22" s="17"/>
      <c r="J22" s="2"/>
      <c r="K22" s="2"/>
      <c r="L22" s="2"/>
      <c r="M22" s="2"/>
      <c r="N22" s="2"/>
      <c r="O22" s="2"/>
      <c r="P22" s="2"/>
    </row>
    <row r="23" spans="1:16" x14ac:dyDescent="0.25">
      <c r="A23" s="22"/>
      <c r="B23" s="10"/>
      <c r="C23" s="11"/>
      <c r="D23" s="19"/>
      <c r="E23" s="20"/>
      <c r="F23" s="14"/>
      <c r="G23" s="15"/>
      <c r="H23" s="16"/>
      <c r="I23" s="17"/>
      <c r="J23" s="2"/>
      <c r="K23" s="2"/>
      <c r="L23" s="2"/>
      <c r="M23" s="2"/>
      <c r="N23" s="2"/>
      <c r="O23" s="2"/>
      <c r="P23" s="2"/>
    </row>
    <row r="24" spans="1:16" x14ac:dyDescent="0.25">
      <c r="A24" s="22"/>
      <c r="B24" s="10"/>
      <c r="C24" s="11"/>
      <c r="D24" s="19"/>
      <c r="E24" s="20"/>
      <c r="F24" s="14"/>
      <c r="G24" s="15"/>
      <c r="H24" s="16"/>
      <c r="I24" s="17"/>
      <c r="J24" s="2"/>
      <c r="K24" s="2"/>
      <c r="L24" s="2"/>
      <c r="M24" s="2"/>
      <c r="N24" s="2"/>
      <c r="O24" s="2"/>
      <c r="P24" s="2"/>
    </row>
    <row r="25" spans="1:16" x14ac:dyDescent="0.25">
      <c r="A25" s="22"/>
      <c r="B25" s="10"/>
      <c r="C25" s="11"/>
      <c r="D25" s="19"/>
      <c r="E25" s="20"/>
      <c r="F25" s="14"/>
      <c r="G25" s="15"/>
      <c r="H25" s="16"/>
      <c r="I25" s="17"/>
      <c r="J25" s="2"/>
      <c r="K25" s="2"/>
      <c r="L25" s="2"/>
      <c r="M25" s="2"/>
      <c r="N25" s="2"/>
      <c r="O25" s="2"/>
      <c r="P25" s="2"/>
    </row>
    <row r="26" spans="1:16" x14ac:dyDescent="0.25">
      <c r="A26" s="22"/>
      <c r="B26" s="10"/>
      <c r="C26" s="11"/>
      <c r="D26" s="19"/>
      <c r="E26" s="20"/>
      <c r="F26" s="14"/>
      <c r="G26" s="15"/>
      <c r="H26" s="16"/>
      <c r="I26" s="17"/>
      <c r="J26" s="2"/>
      <c r="K26" s="2"/>
      <c r="L26" s="2"/>
      <c r="M26" s="2"/>
      <c r="N26" s="2"/>
      <c r="O26" s="2"/>
      <c r="P26" s="2"/>
    </row>
    <row r="27" spans="1:16" x14ac:dyDescent="0.25">
      <c r="A27" s="22"/>
      <c r="B27" s="10"/>
      <c r="C27" s="11"/>
      <c r="D27" s="19"/>
      <c r="E27" s="20"/>
      <c r="F27" s="14"/>
      <c r="G27" s="15"/>
      <c r="H27" s="16"/>
      <c r="I27" s="17"/>
      <c r="J27" s="2"/>
      <c r="K27" s="2"/>
      <c r="L27" s="2"/>
      <c r="M27" s="2"/>
      <c r="N27" s="2"/>
      <c r="O27" s="2"/>
      <c r="P27" s="2"/>
    </row>
    <row r="28" spans="1:16" x14ac:dyDescent="0.25">
      <c r="A28" s="22"/>
      <c r="B28" s="10"/>
      <c r="C28" s="11"/>
      <c r="D28" s="19"/>
      <c r="E28" s="20"/>
      <c r="F28" s="14"/>
      <c r="G28" s="15"/>
      <c r="H28" s="16"/>
      <c r="I28" s="17"/>
      <c r="J28" s="2"/>
      <c r="K28" s="2"/>
      <c r="L28" s="2"/>
      <c r="M28" s="2"/>
      <c r="N28" s="2"/>
      <c r="O28" s="2"/>
      <c r="P28" s="2"/>
    </row>
    <row r="29" spans="1:16" x14ac:dyDescent="0.25">
      <c r="A29" s="22"/>
      <c r="B29" s="10"/>
      <c r="C29" s="11"/>
      <c r="D29" s="19"/>
      <c r="E29" s="20"/>
      <c r="F29" s="14"/>
      <c r="G29" s="15"/>
      <c r="H29" s="16"/>
      <c r="I29" s="17"/>
      <c r="J29" s="2"/>
      <c r="K29" s="2"/>
      <c r="L29" s="2"/>
      <c r="M29" s="2"/>
      <c r="N29" s="2"/>
      <c r="O29" s="2"/>
      <c r="P29" s="2"/>
    </row>
    <row r="30" spans="1:16" x14ac:dyDescent="0.25">
      <c r="A30" s="22"/>
      <c r="B30" s="10"/>
      <c r="C30" s="11"/>
      <c r="D30" s="19"/>
      <c r="E30" s="20"/>
      <c r="F30" s="14"/>
      <c r="G30" s="15"/>
      <c r="H30" s="16"/>
      <c r="I30" s="17"/>
      <c r="J30" s="2"/>
      <c r="K30" s="2"/>
      <c r="L30" s="2"/>
      <c r="M30" s="2"/>
      <c r="N30" s="2"/>
      <c r="O30" s="2"/>
      <c r="P30" s="2"/>
    </row>
    <row r="31" spans="1:16" x14ac:dyDescent="0.25">
      <c r="A31" s="22"/>
      <c r="B31" s="10"/>
      <c r="C31" s="11"/>
      <c r="D31" s="19"/>
      <c r="E31" s="20"/>
      <c r="F31" s="14"/>
      <c r="G31" s="15"/>
      <c r="H31" s="16"/>
      <c r="I31" s="17"/>
      <c r="J31" s="2"/>
      <c r="K31" s="2"/>
      <c r="L31" s="2"/>
      <c r="M31" s="2"/>
      <c r="N31" s="2"/>
      <c r="O31" s="2"/>
      <c r="P31" s="2"/>
    </row>
    <row r="32" spans="1:16" x14ac:dyDescent="0.25">
      <c r="A32" s="22"/>
      <c r="B32" s="10"/>
      <c r="C32" s="11"/>
      <c r="D32" s="19"/>
      <c r="E32" s="20"/>
      <c r="F32" s="14"/>
      <c r="G32" s="15"/>
      <c r="H32" s="16"/>
      <c r="I32" s="17"/>
      <c r="J32" s="2"/>
      <c r="K32" s="2"/>
      <c r="L32" s="2"/>
      <c r="M32" s="2"/>
      <c r="N32" s="2"/>
      <c r="O32" s="2"/>
      <c r="P32" s="2"/>
    </row>
    <row r="33" spans="1:16" x14ac:dyDescent="0.25">
      <c r="A33" s="22"/>
      <c r="B33" s="10"/>
      <c r="C33" s="11"/>
      <c r="D33" s="19"/>
      <c r="E33" s="20"/>
      <c r="F33" s="14"/>
      <c r="G33" s="15"/>
      <c r="H33" s="16"/>
      <c r="I33" s="17"/>
      <c r="J33" s="2"/>
      <c r="K33" s="2"/>
      <c r="L33" s="2"/>
      <c r="M33" s="2"/>
      <c r="N33" s="2"/>
      <c r="O33" s="2"/>
      <c r="P33" s="2"/>
    </row>
    <row r="34" spans="1:16" x14ac:dyDescent="0.25">
      <c r="A34" s="22"/>
      <c r="B34" s="10"/>
      <c r="C34" s="11"/>
      <c r="D34" s="19"/>
      <c r="E34" s="20"/>
      <c r="F34" s="14"/>
      <c r="G34" s="15"/>
      <c r="H34" s="16"/>
      <c r="I34" s="17"/>
      <c r="J34" s="2"/>
      <c r="K34" s="2"/>
      <c r="L34" s="2"/>
      <c r="M34" s="2"/>
      <c r="N34" s="2"/>
      <c r="O34" s="2"/>
      <c r="P34" s="2"/>
    </row>
    <row r="35" spans="1:16" x14ac:dyDescent="0.25">
      <c r="A35" s="22"/>
      <c r="B35" s="10"/>
      <c r="C35" s="11"/>
      <c r="D35" s="19"/>
      <c r="E35" s="20"/>
      <c r="F35" s="14"/>
      <c r="G35" s="15"/>
      <c r="H35" s="16"/>
      <c r="I35" s="17"/>
      <c r="J35" s="21"/>
      <c r="K35" s="21"/>
      <c r="L35" s="21"/>
      <c r="M35" s="21"/>
      <c r="N35" s="21"/>
      <c r="O35" s="21"/>
      <c r="P35" s="21"/>
    </row>
    <row r="36" spans="1:16" x14ac:dyDescent="0.25">
      <c r="A36" s="22"/>
      <c r="B36" s="10"/>
      <c r="C36" s="11"/>
      <c r="D36" s="19"/>
      <c r="E36" s="20"/>
      <c r="F36" s="14"/>
      <c r="G36" s="15"/>
      <c r="H36" s="16"/>
      <c r="I36" s="17"/>
      <c r="J36" s="2"/>
      <c r="K36" s="2"/>
      <c r="L36" s="2"/>
      <c r="M36" s="2"/>
      <c r="N36" s="2"/>
      <c r="O36" s="2"/>
      <c r="P36" s="2"/>
    </row>
    <row r="37" spans="1:16" x14ac:dyDescent="0.25">
      <c r="A37" s="22"/>
      <c r="B37" s="10"/>
      <c r="C37" s="11"/>
      <c r="D37" s="19"/>
      <c r="E37" s="20"/>
      <c r="F37" s="14"/>
      <c r="G37" s="15"/>
      <c r="H37" s="16"/>
      <c r="I37" s="17"/>
      <c r="J37" s="2"/>
      <c r="K37" s="2"/>
      <c r="L37" s="2"/>
      <c r="M37" s="2"/>
      <c r="N37" s="2"/>
      <c r="O37" s="2"/>
      <c r="P37" s="2"/>
    </row>
    <row r="38" spans="1:16" x14ac:dyDescent="0.25">
      <c r="A38" s="22"/>
      <c r="B38" s="10"/>
      <c r="C38" s="11"/>
      <c r="D38" s="19"/>
      <c r="E38" s="20"/>
      <c r="F38" s="14"/>
      <c r="G38" s="15"/>
      <c r="H38" s="16"/>
      <c r="I38" s="17"/>
      <c r="J38" s="21"/>
      <c r="K38" s="21"/>
      <c r="L38" s="21"/>
      <c r="M38" s="21"/>
      <c r="N38" s="21"/>
      <c r="O38" s="21"/>
      <c r="P38" s="21"/>
    </row>
    <row r="39" spans="1:16" x14ac:dyDescent="0.25">
      <c r="A39" s="22"/>
      <c r="B39" s="10"/>
      <c r="C39" s="11"/>
      <c r="D39" s="19"/>
      <c r="E39" s="20"/>
      <c r="F39" s="14"/>
      <c r="G39" s="15"/>
      <c r="H39" s="16"/>
      <c r="I39" s="17"/>
      <c r="J39" s="21"/>
      <c r="K39" s="21"/>
      <c r="L39" s="21"/>
      <c r="M39" s="21"/>
      <c r="N39" s="21"/>
      <c r="O39" s="21"/>
      <c r="P39" s="21"/>
    </row>
    <row r="40" spans="1:16" x14ac:dyDescent="0.25">
      <c r="A40" s="22"/>
      <c r="B40" s="10"/>
      <c r="C40" s="11"/>
      <c r="D40" s="19"/>
      <c r="E40" s="20"/>
      <c r="F40" s="14"/>
      <c r="G40" s="15"/>
      <c r="H40" s="16"/>
      <c r="I40" s="17"/>
      <c r="J40" s="2"/>
      <c r="K40" s="2"/>
      <c r="L40" s="2"/>
      <c r="M40" s="2"/>
      <c r="N40" s="2"/>
      <c r="O40" s="2"/>
      <c r="P40" s="2"/>
    </row>
    <row r="41" spans="1:16" x14ac:dyDescent="0.25">
      <c r="A41" s="22"/>
      <c r="B41" s="10"/>
      <c r="C41" s="11"/>
      <c r="D41" s="19"/>
      <c r="E41" s="20"/>
      <c r="F41" s="14"/>
      <c r="G41" s="15"/>
      <c r="H41" s="16"/>
      <c r="I41" s="17"/>
      <c r="J41" s="21"/>
      <c r="K41" s="21"/>
      <c r="L41" s="21"/>
      <c r="M41" s="21"/>
      <c r="N41" s="21"/>
      <c r="O41" s="21"/>
      <c r="P41" s="21"/>
    </row>
    <row r="42" spans="1:16" x14ac:dyDescent="0.25">
      <c r="A42" s="22"/>
      <c r="B42" s="10"/>
      <c r="C42" s="11"/>
      <c r="D42" s="19"/>
      <c r="E42" s="20"/>
      <c r="F42" s="14"/>
      <c r="G42" s="15"/>
      <c r="H42" s="16"/>
      <c r="I42" s="17"/>
      <c r="J42" s="2"/>
      <c r="K42" s="2"/>
      <c r="L42" s="2"/>
      <c r="M42" s="2"/>
      <c r="N42" s="2"/>
      <c r="O42" s="2"/>
      <c r="P42" s="2"/>
    </row>
    <row r="43" spans="1:16" x14ac:dyDescent="0.25">
      <c r="A43" s="22"/>
      <c r="B43" s="10"/>
      <c r="C43" s="11"/>
      <c r="D43" s="19"/>
      <c r="E43" s="20"/>
      <c r="F43" s="14"/>
      <c r="G43" s="15"/>
      <c r="H43" s="16"/>
      <c r="I43" s="17"/>
      <c r="J43" s="2"/>
      <c r="K43" s="2"/>
      <c r="L43" s="2"/>
      <c r="M43" s="2"/>
      <c r="N43" s="2"/>
      <c r="O43" s="2"/>
      <c r="P43" s="2"/>
    </row>
    <row r="44" spans="1:16" x14ac:dyDescent="0.25">
      <c r="A44" s="22"/>
      <c r="B44" s="10"/>
      <c r="C44" s="11"/>
      <c r="D44" s="19"/>
      <c r="E44" s="20"/>
      <c r="F44" s="14"/>
      <c r="G44" s="15"/>
      <c r="H44" s="16"/>
      <c r="I44" s="17"/>
      <c r="J44" s="21"/>
      <c r="K44" s="21"/>
      <c r="L44" s="21"/>
      <c r="M44" s="21"/>
      <c r="N44" s="21"/>
      <c r="O44" s="21"/>
      <c r="P44" s="21"/>
    </row>
    <row r="45" spans="1:16" x14ac:dyDescent="0.25">
      <c r="A45" s="22"/>
      <c r="B45" s="10"/>
      <c r="C45" s="11"/>
      <c r="D45" s="19"/>
      <c r="E45" s="20"/>
      <c r="F45" s="14"/>
      <c r="G45" s="15"/>
      <c r="H45" s="16"/>
      <c r="I45" s="17"/>
      <c r="J45" s="2"/>
      <c r="K45" s="2"/>
      <c r="L45" s="2"/>
      <c r="M45" s="2"/>
      <c r="N45" s="2"/>
      <c r="O45" s="2"/>
      <c r="P45" s="2"/>
    </row>
    <row r="46" spans="1:16" x14ac:dyDescent="0.25">
      <c r="A46" s="22"/>
      <c r="B46" s="10"/>
      <c r="C46" s="11"/>
      <c r="D46" s="19"/>
      <c r="E46" s="20"/>
      <c r="F46" s="14"/>
      <c r="G46" s="15"/>
      <c r="H46" s="16"/>
      <c r="I46" s="17"/>
      <c r="J46" s="2"/>
      <c r="K46" s="2"/>
      <c r="L46" s="2"/>
      <c r="M46" s="2"/>
      <c r="N46" s="2"/>
      <c r="O46" s="2"/>
      <c r="P46" s="2"/>
    </row>
    <row r="47" spans="1:16" x14ac:dyDescent="0.25">
      <c r="A47" s="22"/>
      <c r="B47" s="10"/>
      <c r="C47" s="11"/>
      <c r="D47" s="19"/>
      <c r="E47" s="20"/>
      <c r="F47" s="14"/>
      <c r="G47" s="15"/>
      <c r="H47" s="16"/>
      <c r="I47" s="17"/>
      <c r="J47" s="21"/>
      <c r="K47" s="21"/>
      <c r="L47" s="21"/>
      <c r="M47" s="21"/>
      <c r="N47" s="21"/>
      <c r="O47" s="21"/>
      <c r="P47" s="21"/>
    </row>
    <row r="48" spans="1:16" x14ac:dyDescent="0.25">
      <c r="A48" s="22"/>
      <c r="B48" s="10"/>
      <c r="C48" s="11"/>
      <c r="D48" s="19"/>
      <c r="E48" s="20"/>
      <c r="F48" s="14"/>
      <c r="G48" s="15"/>
      <c r="H48" s="16"/>
      <c r="I48" s="17"/>
      <c r="J48" s="2"/>
      <c r="K48" s="2"/>
      <c r="L48" s="2"/>
      <c r="M48" s="2"/>
      <c r="N48" s="2"/>
      <c r="O48" s="2"/>
      <c r="P48" s="2"/>
    </row>
    <row r="49" spans="1:16" x14ac:dyDescent="0.25">
      <c r="A49" s="22"/>
      <c r="B49" s="10"/>
      <c r="C49" s="11"/>
      <c r="D49" s="19"/>
      <c r="E49" s="20"/>
      <c r="F49" s="14"/>
      <c r="G49" s="15"/>
      <c r="H49" s="16"/>
      <c r="I49" s="17"/>
      <c r="J49" s="2"/>
      <c r="K49" s="2"/>
      <c r="L49" s="2"/>
      <c r="M49" s="2"/>
      <c r="N49" s="2"/>
      <c r="O49" s="2"/>
      <c r="P49" s="2"/>
    </row>
    <row r="50" spans="1:16" x14ac:dyDescent="0.25">
      <c r="A50" s="22"/>
      <c r="B50" s="10"/>
      <c r="C50" s="11"/>
      <c r="D50" s="19"/>
      <c r="E50" s="20"/>
      <c r="F50" s="14"/>
      <c r="G50" s="15"/>
      <c r="H50" s="16"/>
      <c r="I50" s="17"/>
      <c r="J50" s="2"/>
      <c r="K50" s="2"/>
      <c r="L50" s="2"/>
      <c r="M50" s="2"/>
      <c r="N50" s="2"/>
      <c r="O50" s="2"/>
      <c r="P50" s="2"/>
    </row>
    <row r="51" spans="1:16" x14ac:dyDescent="0.25">
      <c r="A51" s="22"/>
      <c r="B51" s="10"/>
      <c r="C51" s="11"/>
      <c r="D51" s="19"/>
      <c r="E51" s="20"/>
      <c r="F51" s="14"/>
      <c r="G51" s="15"/>
      <c r="H51" s="16"/>
      <c r="I51" s="17"/>
      <c r="J51" s="2"/>
      <c r="K51" s="2"/>
      <c r="L51" s="2"/>
      <c r="M51" s="2"/>
      <c r="N51" s="2"/>
      <c r="O51" s="2"/>
      <c r="P51" s="2"/>
    </row>
    <row r="52" spans="1:16" x14ac:dyDescent="0.25">
      <c r="A52" s="22"/>
      <c r="B52" s="10"/>
      <c r="C52" s="11"/>
      <c r="D52" s="19"/>
      <c r="E52" s="20"/>
      <c r="F52" s="14"/>
      <c r="G52" s="15"/>
      <c r="H52" s="16"/>
      <c r="I52" s="17"/>
      <c r="J52" s="21"/>
      <c r="K52" s="21"/>
      <c r="L52" s="21"/>
      <c r="M52" s="21"/>
      <c r="N52" s="21"/>
      <c r="O52" s="21"/>
      <c r="P52" s="21"/>
    </row>
    <row r="53" spans="1:16" x14ac:dyDescent="0.25">
      <c r="A53" s="22"/>
      <c r="B53" s="10"/>
      <c r="C53" s="11"/>
      <c r="D53" s="19"/>
      <c r="E53" s="20"/>
      <c r="F53" s="14"/>
      <c r="G53" s="15"/>
      <c r="H53" s="16"/>
      <c r="I53" s="17"/>
      <c r="J53" s="2"/>
      <c r="K53" s="2"/>
      <c r="L53" s="2"/>
      <c r="M53" s="2"/>
      <c r="N53" s="2"/>
      <c r="O53" s="2"/>
      <c r="P53" s="2"/>
    </row>
    <row r="54" spans="1:16" x14ac:dyDescent="0.25">
      <c r="A54" s="22"/>
      <c r="B54" s="10"/>
      <c r="C54" s="11"/>
      <c r="D54" s="19"/>
      <c r="E54" s="20"/>
      <c r="F54" s="14"/>
      <c r="G54" s="15"/>
      <c r="H54" s="16"/>
      <c r="I54" s="17"/>
      <c r="J54" s="2"/>
      <c r="K54" s="2"/>
      <c r="L54" s="2"/>
      <c r="M54" s="2"/>
      <c r="N54" s="2"/>
      <c r="O54" s="2"/>
      <c r="P54" s="2"/>
    </row>
    <row r="55" spans="1:16" x14ac:dyDescent="0.25">
      <c r="A55" s="22"/>
      <c r="B55" s="10"/>
      <c r="C55" s="11"/>
      <c r="D55" s="19"/>
      <c r="E55" s="20"/>
      <c r="F55" s="14"/>
      <c r="G55" s="15"/>
      <c r="H55" s="16"/>
      <c r="I55" s="17"/>
      <c r="J55" s="2"/>
      <c r="K55" s="2"/>
      <c r="L55" s="2"/>
      <c r="M55" s="2"/>
      <c r="N55" s="2"/>
      <c r="O55" s="2"/>
      <c r="P55" s="2"/>
    </row>
    <row r="56" spans="1:16" x14ac:dyDescent="0.25">
      <c r="A56" s="22"/>
      <c r="B56" s="10"/>
      <c r="C56" s="11"/>
      <c r="D56" s="19"/>
      <c r="E56" s="20"/>
      <c r="F56" s="14"/>
      <c r="G56" s="15"/>
      <c r="H56" s="16"/>
      <c r="I56" s="17"/>
      <c r="J56" s="2"/>
      <c r="K56" s="2"/>
      <c r="L56" s="2"/>
      <c r="M56" s="2"/>
      <c r="N56" s="2"/>
      <c r="O56" s="2"/>
      <c r="P56" s="2"/>
    </row>
    <row r="57" spans="1:16" x14ac:dyDescent="0.25">
      <c r="A57" s="22"/>
      <c r="B57" s="10"/>
      <c r="C57" s="11"/>
      <c r="D57" s="19"/>
      <c r="E57" s="20"/>
      <c r="F57" s="14"/>
      <c r="G57" s="15"/>
      <c r="H57" s="16"/>
      <c r="I57" s="17"/>
      <c r="J57" s="2"/>
      <c r="K57" s="2"/>
      <c r="L57" s="2"/>
      <c r="M57" s="2"/>
      <c r="N57" s="2"/>
      <c r="O57" s="2"/>
      <c r="P57" s="2"/>
    </row>
    <row r="58" spans="1:16" x14ac:dyDescent="0.25">
      <c r="A58" s="22"/>
      <c r="B58" s="10"/>
      <c r="C58" s="11"/>
      <c r="D58" s="19"/>
      <c r="E58" s="20"/>
      <c r="F58" s="14"/>
      <c r="G58" s="15"/>
      <c r="H58" s="16"/>
      <c r="I58" s="17"/>
      <c r="J58" s="2"/>
      <c r="K58" s="2"/>
      <c r="L58" s="2"/>
      <c r="M58" s="2"/>
      <c r="N58" s="2"/>
      <c r="O58" s="2"/>
      <c r="P58" s="2"/>
    </row>
    <row r="59" spans="1:16" x14ac:dyDescent="0.25">
      <c r="A59" s="22"/>
      <c r="B59" s="10"/>
      <c r="C59" s="11"/>
      <c r="D59" s="19"/>
      <c r="E59" s="20"/>
      <c r="F59" s="14"/>
      <c r="G59" s="15"/>
      <c r="H59" s="16"/>
      <c r="I59" s="17"/>
      <c r="J59" s="2"/>
      <c r="K59" s="2"/>
      <c r="L59" s="2"/>
      <c r="M59" s="2"/>
      <c r="N59" s="2"/>
      <c r="O59" s="2"/>
      <c r="P59" s="2"/>
    </row>
    <row r="60" spans="1:16" x14ac:dyDescent="0.25">
      <c r="A60" s="22"/>
      <c r="B60" s="10"/>
      <c r="C60" s="11"/>
      <c r="D60" s="19"/>
      <c r="E60" s="20"/>
      <c r="F60" s="14"/>
      <c r="G60" s="15"/>
      <c r="H60" s="16"/>
      <c r="I60" s="17"/>
      <c r="J60" s="2"/>
      <c r="K60" s="2"/>
      <c r="L60" s="2"/>
      <c r="M60" s="2"/>
      <c r="N60" s="2"/>
      <c r="O60" s="2"/>
      <c r="P60" s="2"/>
    </row>
    <row r="61" spans="1:16" x14ac:dyDescent="0.25">
      <c r="A61" s="22"/>
      <c r="B61" s="10"/>
      <c r="C61" s="11"/>
      <c r="D61" s="19"/>
      <c r="E61" s="20"/>
      <c r="F61" s="14"/>
      <c r="G61" s="15"/>
      <c r="H61" s="16"/>
      <c r="I61" s="17"/>
      <c r="J61" s="2"/>
      <c r="K61" s="2"/>
      <c r="L61" s="2"/>
      <c r="M61" s="2"/>
      <c r="N61" s="2"/>
      <c r="O61" s="2"/>
      <c r="P61" s="2"/>
    </row>
    <row r="62" spans="1:16" x14ac:dyDescent="0.25">
      <c r="A62" s="22"/>
      <c r="B62" s="10"/>
      <c r="C62" s="11"/>
      <c r="D62" s="19"/>
      <c r="E62" s="20"/>
      <c r="F62" s="14"/>
      <c r="G62" s="15"/>
      <c r="H62" s="16"/>
      <c r="I62" s="17"/>
      <c r="J62" s="2"/>
      <c r="K62" s="2"/>
      <c r="L62" s="2"/>
      <c r="M62" s="2"/>
      <c r="N62" s="2"/>
      <c r="O62" s="2"/>
      <c r="P62" s="2"/>
    </row>
    <row r="63" spans="1:16" x14ac:dyDescent="0.25">
      <c r="A63" s="22"/>
      <c r="B63" s="10"/>
      <c r="C63" s="11"/>
      <c r="D63" s="19"/>
      <c r="E63" s="20"/>
      <c r="F63" s="14"/>
      <c r="G63" s="15"/>
      <c r="H63" s="16"/>
      <c r="I63" s="17"/>
      <c r="J63" s="2"/>
      <c r="K63" s="2"/>
      <c r="L63" s="2"/>
      <c r="M63" s="2"/>
      <c r="N63" s="2"/>
      <c r="O63" s="2"/>
      <c r="P63" s="2"/>
    </row>
    <row r="64" spans="1:16" x14ac:dyDescent="0.25">
      <c r="A64" s="22"/>
      <c r="B64" s="10"/>
      <c r="C64" s="11"/>
      <c r="D64" s="19"/>
      <c r="E64" s="20"/>
      <c r="F64" s="14"/>
      <c r="G64" s="15"/>
      <c r="H64" s="16"/>
      <c r="I64" s="17"/>
      <c r="J64" s="2"/>
      <c r="K64" s="2"/>
      <c r="L64" s="2"/>
      <c r="M64" s="2"/>
      <c r="N64" s="2"/>
      <c r="O64" s="2"/>
      <c r="P64" s="2"/>
    </row>
    <row r="65" spans="1:16" x14ac:dyDescent="0.25">
      <c r="A65" s="22"/>
      <c r="B65" s="10"/>
      <c r="C65" s="11"/>
      <c r="D65" s="19"/>
      <c r="E65" s="20"/>
      <c r="F65" s="14"/>
      <c r="G65" s="15"/>
      <c r="H65" s="16"/>
      <c r="I65" s="17"/>
      <c r="J65" s="2"/>
      <c r="K65" s="2"/>
      <c r="L65" s="2"/>
      <c r="M65" s="2"/>
      <c r="N65" s="2"/>
      <c r="O65" s="2"/>
      <c r="P65" s="2"/>
    </row>
    <row r="66" spans="1:16" x14ac:dyDescent="0.25">
      <c r="A66" s="22"/>
      <c r="B66" s="10"/>
      <c r="C66" s="11"/>
      <c r="D66" s="19"/>
      <c r="E66" s="20"/>
      <c r="F66" s="14"/>
      <c r="G66" s="15"/>
      <c r="H66" s="16"/>
      <c r="I66" s="17"/>
      <c r="J66" s="2"/>
      <c r="K66" s="2"/>
      <c r="L66" s="2"/>
      <c r="M66" s="2"/>
      <c r="N66" s="2"/>
      <c r="O66" s="2"/>
      <c r="P66" s="2"/>
    </row>
    <row r="67" spans="1:16" x14ac:dyDescent="0.25">
      <c r="A67" s="22"/>
      <c r="B67" s="10"/>
      <c r="C67" s="11"/>
      <c r="D67" s="19"/>
      <c r="E67" s="20"/>
      <c r="F67" s="14"/>
      <c r="G67" s="15"/>
      <c r="H67" s="16"/>
      <c r="I67" s="17"/>
      <c r="J67" s="2"/>
      <c r="K67" s="2"/>
      <c r="L67" s="2"/>
      <c r="M67" s="2"/>
      <c r="N67" s="2"/>
      <c r="O67" s="2"/>
      <c r="P67" s="2"/>
    </row>
    <row r="68" spans="1:16" x14ac:dyDescent="0.25">
      <c r="A68" s="22"/>
      <c r="B68" s="10"/>
      <c r="C68" s="11"/>
      <c r="D68" s="19"/>
      <c r="E68" s="20"/>
      <c r="F68" s="14"/>
      <c r="G68" s="15"/>
      <c r="H68" s="16"/>
      <c r="I68" s="17"/>
      <c r="J68" s="21"/>
      <c r="K68" s="21"/>
      <c r="L68" s="21"/>
      <c r="M68" s="21"/>
      <c r="N68" s="21"/>
      <c r="O68" s="21"/>
      <c r="P68" s="21"/>
    </row>
    <row r="69" spans="1:16" x14ac:dyDescent="0.25">
      <c r="A69" s="22"/>
      <c r="B69" s="10"/>
      <c r="C69" s="11"/>
      <c r="D69" s="19"/>
      <c r="E69" s="20"/>
      <c r="F69" s="14"/>
      <c r="G69" s="15"/>
      <c r="H69" s="16"/>
      <c r="I69" s="17"/>
      <c r="J69" s="21"/>
      <c r="K69" s="21"/>
      <c r="L69" s="21"/>
      <c r="M69" s="21"/>
      <c r="N69" s="21"/>
      <c r="O69" s="21"/>
      <c r="P69" s="21"/>
    </row>
    <row r="70" spans="1:16" x14ac:dyDescent="0.25">
      <c r="A70" s="22"/>
      <c r="B70" s="10"/>
      <c r="C70" s="11"/>
      <c r="D70" s="19"/>
      <c r="E70" s="20"/>
      <c r="F70" s="14"/>
      <c r="G70" s="15"/>
      <c r="H70" s="16"/>
      <c r="I70" s="17"/>
      <c r="J70" s="2"/>
      <c r="K70" s="2"/>
      <c r="L70" s="2"/>
      <c r="M70" s="2"/>
      <c r="N70" s="2"/>
      <c r="O70" s="2"/>
      <c r="P70" s="2"/>
    </row>
    <row r="71" spans="1:16" x14ac:dyDescent="0.25">
      <c r="A71" s="22"/>
      <c r="B71" s="10"/>
      <c r="C71" s="11"/>
      <c r="D71" s="19"/>
      <c r="E71" s="20"/>
      <c r="F71" s="14"/>
      <c r="G71" s="15"/>
      <c r="H71" s="16"/>
      <c r="I71" s="17"/>
      <c r="J71" s="2"/>
      <c r="K71" s="2"/>
      <c r="L71" s="2"/>
      <c r="M71" s="2"/>
      <c r="N71" s="2"/>
      <c r="O71" s="2"/>
      <c r="P71" s="2"/>
    </row>
    <row r="72" spans="1:16" x14ac:dyDescent="0.25">
      <c r="A72" s="22"/>
      <c r="B72" s="10"/>
      <c r="C72" s="11"/>
      <c r="D72" s="19"/>
      <c r="E72" s="20"/>
      <c r="F72" s="14"/>
      <c r="G72" s="15"/>
      <c r="H72" s="16"/>
      <c r="I72" s="17"/>
      <c r="J72" s="2"/>
      <c r="K72" s="2"/>
      <c r="L72" s="2"/>
      <c r="M72" s="2"/>
      <c r="N72" s="2"/>
      <c r="O72" s="2"/>
      <c r="P72" s="2"/>
    </row>
    <row r="73" spans="1:16" x14ac:dyDescent="0.25">
      <c r="A73" s="22"/>
      <c r="B73" s="10"/>
      <c r="C73" s="11"/>
      <c r="D73" s="19"/>
      <c r="E73" s="20"/>
      <c r="F73" s="14"/>
      <c r="G73" s="15"/>
      <c r="H73" s="16"/>
      <c r="I73" s="17"/>
      <c r="J73" s="2"/>
      <c r="K73" s="2"/>
      <c r="L73" s="2"/>
      <c r="M73" s="2"/>
      <c r="N73" s="2"/>
      <c r="O73" s="2"/>
      <c r="P73" s="2"/>
    </row>
    <row r="74" spans="1:16" x14ac:dyDescent="0.25">
      <c r="A74" s="22"/>
      <c r="B74" s="10"/>
      <c r="C74" s="11"/>
      <c r="D74" s="19"/>
      <c r="E74" s="20"/>
      <c r="F74" s="14"/>
      <c r="G74" s="15"/>
      <c r="H74" s="16"/>
      <c r="I74" s="17"/>
      <c r="J74" s="2"/>
      <c r="K74" s="2"/>
      <c r="L74" s="2"/>
      <c r="M74" s="2"/>
      <c r="N74" s="2"/>
      <c r="O74" s="2"/>
      <c r="P74" s="2"/>
    </row>
    <row r="75" spans="1:16" x14ac:dyDescent="0.25">
      <c r="A75" s="22"/>
      <c r="B75" s="10"/>
      <c r="C75" s="11"/>
      <c r="D75" s="19"/>
      <c r="E75" s="20"/>
      <c r="F75" s="14"/>
      <c r="G75" s="15"/>
      <c r="H75" s="16"/>
      <c r="I75" s="17"/>
      <c r="J75" s="2"/>
      <c r="K75" s="2"/>
      <c r="L75" s="2"/>
      <c r="M75" s="2"/>
      <c r="N75" s="2"/>
      <c r="O75" s="2"/>
      <c r="P75" s="2"/>
    </row>
    <row r="76" spans="1:16" x14ac:dyDescent="0.25">
      <c r="A76" s="22"/>
      <c r="B76" s="10"/>
      <c r="C76" s="11"/>
      <c r="D76" s="19"/>
      <c r="E76" s="20"/>
      <c r="F76" s="14"/>
      <c r="G76" s="15"/>
      <c r="H76" s="16"/>
      <c r="I76" s="17"/>
      <c r="J76" s="2"/>
      <c r="K76" s="2"/>
      <c r="L76" s="2"/>
      <c r="M76" s="2"/>
      <c r="N76" s="2"/>
      <c r="O76" s="2"/>
      <c r="P76" s="2"/>
    </row>
    <row r="77" spans="1:16" x14ac:dyDescent="0.25">
      <c r="A77" s="22"/>
      <c r="B77" s="10"/>
      <c r="C77" s="11"/>
      <c r="D77" s="19"/>
      <c r="E77" s="20"/>
      <c r="F77" s="14"/>
      <c r="G77" s="15"/>
      <c r="H77" s="16"/>
      <c r="I77" s="17"/>
      <c r="J77" s="2"/>
      <c r="K77" s="2"/>
      <c r="L77" s="2"/>
      <c r="M77" s="2"/>
      <c r="N77" s="2"/>
      <c r="O77" s="2"/>
      <c r="P77" s="2"/>
    </row>
    <row r="78" spans="1:16" x14ac:dyDescent="0.25">
      <c r="A78" s="22"/>
      <c r="B78" s="10"/>
      <c r="C78" s="11"/>
      <c r="D78" s="19"/>
      <c r="E78" s="20"/>
      <c r="F78" s="14"/>
      <c r="G78" s="15"/>
      <c r="H78" s="16"/>
      <c r="I78" s="17"/>
      <c r="J78" s="2"/>
      <c r="K78" s="2"/>
      <c r="L78" s="2"/>
      <c r="M78" s="2"/>
      <c r="N78" s="2"/>
      <c r="O78" s="2"/>
      <c r="P78" s="2"/>
    </row>
    <row r="79" spans="1:16" x14ac:dyDescent="0.25">
      <c r="A79" s="22"/>
      <c r="B79" s="10"/>
      <c r="C79" s="11"/>
      <c r="D79" s="19"/>
      <c r="E79" s="20"/>
      <c r="F79" s="14"/>
      <c r="G79" s="15"/>
      <c r="H79" s="16"/>
      <c r="I79" s="17"/>
      <c r="J79" s="2"/>
      <c r="K79" s="2"/>
      <c r="L79" s="2"/>
      <c r="M79" s="2"/>
      <c r="N79" s="2"/>
      <c r="O79" s="2"/>
      <c r="P79" s="2"/>
    </row>
    <row r="80" spans="1:16" x14ac:dyDescent="0.25">
      <c r="A80" s="22"/>
      <c r="B80" s="10"/>
      <c r="C80" s="11"/>
      <c r="D80" s="19"/>
      <c r="E80" s="20"/>
      <c r="F80" s="14"/>
      <c r="G80" s="15"/>
      <c r="H80" s="16"/>
      <c r="I80" s="17"/>
      <c r="J80" s="21"/>
      <c r="K80" s="21"/>
      <c r="L80" s="21"/>
      <c r="M80" s="21"/>
      <c r="N80" s="21"/>
      <c r="O80" s="21"/>
      <c r="P80" s="21"/>
    </row>
    <row r="81" spans="1:16" x14ac:dyDescent="0.25">
      <c r="A81" s="22"/>
      <c r="B81" s="10"/>
      <c r="C81" s="11"/>
      <c r="D81" s="19"/>
      <c r="E81" s="20"/>
      <c r="F81" s="14"/>
      <c r="G81" s="15"/>
      <c r="H81" s="16"/>
      <c r="I81" s="17"/>
      <c r="J81" s="21"/>
      <c r="K81" s="21"/>
      <c r="L81" s="21"/>
      <c r="M81" s="21"/>
      <c r="N81" s="21"/>
      <c r="O81" s="21"/>
      <c r="P81" s="21"/>
    </row>
    <row r="82" spans="1:16" x14ac:dyDescent="0.25">
      <c r="A82" s="22"/>
      <c r="B82" s="10"/>
      <c r="C82" s="11"/>
      <c r="D82" s="19"/>
      <c r="E82" s="20"/>
      <c r="F82" s="14"/>
      <c r="G82" s="15"/>
      <c r="H82" s="16"/>
      <c r="I82" s="17"/>
      <c r="J82" s="21"/>
      <c r="K82" s="21"/>
      <c r="L82" s="21"/>
      <c r="M82" s="21"/>
      <c r="N82" s="21"/>
      <c r="O82" s="21"/>
      <c r="P82" s="21"/>
    </row>
    <row r="83" spans="1:16" x14ac:dyDescent="0.25">
      <c r="A83" s="22"/>
      <c r="B83" s="10"/>
      <c r="C83" s="11"/>
      <c r="D83" s="19"/>
      <c r="E83" s="20"/>
      <c r="F83" s="14"/>
      <c r="G83" s="15"/>
      <c r="H83" s="16"/>
      <c r="I83" s="17"/>
      <c r="J83" s="2"/>
      <c r="K83" s="2"/>
      <c r="L83" s="2"/>
      <c r="M83" s="2"/>
      <c r="N83" s="2"/>
      <c r="O83" s="2"/>
      <c r="P83" s="2"/>
    </row>
    <row r="84" spans="1:16" x14ac:dyDescent="0.25">
      <c r="A84" s="22"/>
      <c r="B84" s="10"/>
      <c r="C84" s="11"/>
      <c r="D84" s="19"/>
      <c r="E84" s="20"/>
      <c r="F84" s="14"/>
      <c r="G84" s="15"/>
      <c r="H84" s="16"/>
      <c r="I84" s="17"/>
      <c r="J84" s="21"/>
      <c r="K84" s="21"/>
      <c r="L84" s="21"/>
      <c r="M84" s="21"/>
      <c r="N84" s="21"/>
      <c r="O84" s="21"/>
      <c r="P84" s="21"/>
    </row>
    <row r="85" spans="1:16" x14ac:dyDescent="0.25">
      <c r="A85" s="22"/>
      <c r="B85" s="10"/>
      <c r="C85" s="11"/>
      <c r="D85" s="19"/>
      <c r="E85" s="20"/>
      <c r="F85" s="14"/>
      <c r="G85" s="15"/>
      <c r="H85" s="16"/>
      <c r="I85" s="17"/>
      <c r="J85" s="2"/>
      <c r="K85" s="2"/>
      <c r="L85" s="2"/>
      <c r="M85" s="2"/>
      <c r="N85" s="2"/>
      <c r="O85" s="2"/>
      <c r="P85" s="2"/>
    </row>
    <row r="86" spans="1:16" x14ac:dyDescent="0.25">
      <c r="A86" s="22"/>
      <c r="B86" s="10"/>
      <c r="C86" s="11"/>
      <c r="D86" s="19"/>
      <c r="E86" s="20"/>
      <c r="F86" s="14"/>
      <c r="G86" s="15"/>
      <c r="H86" s="16"/>
      <c r="I86" s="17"/>
      <c r="J86" s="2"/>
      <c r="K86" s="2"/>
      <c r="L86" s="2"/>
      <c r="M86" s="2"/>
      <c r="N86" s="2"/>
      <c r="O86" s="2"/>
      <c r="P86" s="2"/>
    </row>
    <row r="87" spans="1:16" x14ac:dyDescent="0.25">
      <c r="A87" s="22"/>
      <c r="B87" s="10"/>
      <c r="C87" s="11"/>
      <c r="D87" s="19"/>
      <c r="E87" s="20"/>
      <c r="F87" s="14"/>
      <c r="G87" s="15"/>
      <c r="H87" s="16"/>
      <c r="I87" s="17"/>
      <c r="J87" s="2"/>
      <c r="K87" s="2"/>
      <c r="L87" s="2"/>
      <c r="M87" s="2"/>
      <c r="N87" s="2"/>
      <c r="O87" s="2"/>
      <c r="P87" s="2"/>
    </row>
    <row r="88" spans="1:16" x14ac:dyDescent="0.25">
      <c r="A88" s="22"/>
      <c r="B88" s="10"/>
      <c r="C88" s="11"/>
      <c r="D88" s="19"/>
      <c r="E88" s="20"/>
      <c r="F88" s="14"/>
      <c r="G88" s="15"/>
      <c r="H88" s="16"/>
      <c r="I88" s="17"/>
      <c r="J88" s="2"/>
      <c r="K88" s="2"/>
      <c r="L88" s="2"/>
      <c r="M88" s="2"/>
      <c r="N88" s="2"/>
      <c r="O88" s="2"/>
      <c r="P88" s="2"/>
    </row>
    <row r="89" spans="1:16" x14ac:dyDescent="0.25">
      <c r="A89" s="22"/>
      <c r="B89" s="10"/>
      <c r="C89" s="11"/>
      <c r="D89" s="19"/>
      <c r="E89" s="20"/>
      <c r="F89" s="14"/>
      <c r="G89" s="15"/>
      <c r="H89" s="16"/>
      <c r="I89" s="17"/>
      <c r="J89" s="21"/>
      <c r="K89" s="21"/>
      <c r="L89" s="21"/>
      <c r="M89" s="21"/>
      <c r="N89" s="21"/>
      <c r="O89" s="21"/>
      <c r="P89" s="21"/>
    </row>
    <row r="90" spans="1:16" x14ac:dyDescent="0.25">
      <c r="A90" s="22"/>
      <c r="B90" s="10"/>
      <c r="C90" s="11"/>
      <c r="D90" s="19"/>
      <c r="E90" s="20"/>
      <c r="F90" s="14"/>
      <c r="G90" s="15"/>
      <c r="H90" s="16"/>
      <c r="I90" s="17"/>
      <c r="J90" s="21"/>
      <c r="K90" s="21"/>
      <c r="L90" s="21"/>
      <c r="M90" s="21"/>
      <c r="N90" s="21"/>
      <c r="O90" s="21"/>
      <c r="P90" s="21"/>
    </row>
    <row r="91" spans="1:16" x14ac:dyDescent="0.25">
      <c r="A91" s="22"/>
      <c r="B91" s="10"/>
      <c r="C91" s="11"/>
      <c r="D91" s="19"/>
      <c r="E91" s="20"/>
      <c r="F91" s="14"/>
      <c r="G91" s="15"/>
      <c r="H91" s="16"/>
      <c r="I91" s="17"/>
      <c r="J91" s="21"/>
      <c r="K91" s="21"/>
      <c r="L91" s="21"/>
      <c r="M91" s="21"/>
      <c r="N91" s="21"/>
      <c r="O91" s="21"/>
      <c r="P91" s="21"/>
    </row>
    <row r="92" spans="1:16" x14ac:dyDescent="0.25">
      <c r="A92" s="22"/>
      <c r="B92" s="10"/>
      <c r="C92" s="11"/>
      <c r="D92" s="19"/>
      <c r="E92" s="20"/>
      <c r="F92" s="14"/>
      <c r="G92" s="15"/>
      <c r="H92" s="16"/>
      <c r="I92" s="17"/>
      <c r="J92" s="2"/>
      <c r="K92" s="2"/>
      <c r="L92" s="2"/>
      <c r="M92" s="2"/>
      <c r="N92" s="2"/>
      <c r="O92" s="2"/>
      <c r="P92" s="2"/>
    </row>
    <row r="93" spans="1:16" x14ac:dyDescent="0.25">
      <c r="A93" s="22"/>
      <c r="B93" s="10"/>
      <c r="C93" s="11"/>
      <c r="D93" s="19"/>
      <c r="E93" s="20"/>
      <c r="F93" s="14"/>
      <c r="G93" s="15"/>
      <c r="H93" s="16"/>
      <c r="I93" s="17"/>
      <c r="J93" s="2"/>
      <c r="K93" s="2"/>
      <c r="L93" s="2"/>
      <c r="M93" s="2"/>
      <c r="N93" s="2"/>
      <c r="O93" s="2"/>
      <c r="P93" s="2"/>
    </row>
    <row r="94" spans="1:16" x14ac:dyDescent="0.25">
      <c r="A94" s="22"/>
      <c r="B94" s="10"/>
      <c r="C94" s="11"/>
      <c r="D94" s="19"/>
      <c r="E94" s="20"/>
      <c r="F94" s="14"/>
      <c r="G94" s="15"/>
      <c r="H94" s="16"/>
      <c r="I94" s="17"/>
      <c r="J94" s="2"/>
      <c r="K94" s="2"/>
      <c r="L94" s="2"/>
      <c r="M94" s="2"/>
      <c r="N94" s="2"/>
      <c r="O94" s="2"/>
      <c r="P94" s="2"/>
    </row>
    <row r="95" spans="1:16" x14ac:dyDescent="0.25">
      <c r="A95" s="22"/>
      <c r="B95" s="10"/>
      <c r="C95" s="11"/>
      <c r="D95" s="19"/>
      <c r="E95" s="20"/>
      <c r="F95" s="14"/>
      <c r="G95" s="15"/>
      <c r="H95" s="16"/>
      <c r="I95" s="17"/>
      <c r="J95" s="2"/>
      <c r="K95" s="2"/>
      <c r="L95" s="2"/>
      <c r="M95" s="2"/>
      <c r="N95" s="2"/>
      <c r="O95" s="2"/>
      <c r="P95" s="2"/>
    </row>
    <row r="96" spans="1:16" x14ac:dyDescent="0.25">
      <c r="A96" s="22"/>
      <c r="B96" s="10"/>
      <c r="C96" s="11"/>
      <c r="D96" s="19"/>
      <c r="E96" s="20"/>
      <c r="F96" s="14"/>
      <c r="G96" s="15"/>
      <c r="H96" s="16"/>
      <c r="I96" s="17"/>
      <c r="J96" s="2"/>
      <c r="K96" s="2"/>
      <c r="L96" s="2"/>
      <c r="M96" s="2"/>
      <c r="N96" s="2"/>
      <c r="O96" s="2"/>
      <c r="P96" s="2"/>
    </row>
    <row r="97" spans="1:16" x14ac:dyDescent="0.25">
      <c r="A97" s="22"/>
      <c r="B97" s="10"/>
      <c r="C97" s="11"/>
      <c r="D97" s="19"/>
      <c r="E97" s="20"/>
      <c r="F97" s="14"/>
      <c r="G97" s="15"/>
      <c r="H97" s="16"/>
      <c r="I97" s="17"/>
      <c r="J97" s="2"/>
      <c r="K97" s="2"/>
      <c r="L97" s="2"/>
      <c r="M97" s="2"/>
      <c r="N97" s="2"/>
      <c r="O97" s="2"/>
      <c r="P97" s="2"/>
    </row>
    <row r="98" spans="1:16" x14ac:dyDescent="0.25">
      <c r="A98" s="22"/>
      <c r="B98" s="10"/>
      <c r="C98" s="11"/>
      <c r="D98" s="19"/>
      <c r="E98" s="20"/>
      <c r="F98" s="14"/>
      <c r="G98" s="15"/>
      <c r="H98" s="16"/>
      <c r="I98" s="17"/>
      <c r="J98" s="2"/>
      <c r="K98" s="2"/>
      <c r="L98" s="2"/>
      <c r="M98" s="2"/>
      <c r="N98" s="2"/>
      <c r="O98" s="2"/>
      <c r="P98" s="2"/>
    </row>
    <row r="99" spans="1:16" x14ac:dyDescent="0.25">
      <c r="A99" s="22"/>
      <c r="B99" s="10"/>
      <c r="C99" s="11"/>
      <c r="D99" s="19"/>
      <c r="E99" s="20"/>
      <c r="F99" s="14"/>
      <c r="G99" s="15"/>
      <c r="H99" s="16"/>
      <c r="I99" s="17"/>
      <c r="J99" s="2"/>
      <c r="K99" s="2"/>
      <c r="L99" s="2"/>
      <c r="M99" s="2"/>
      <c r="N99" s="2"/>
      <c r="O99" s="2"/>
      <c r="P99" s="2"/>
    </row>
    <row r="100" spans="1:16" x14ac:dyDescent="0.25">
      <c r="A100" s="22"/>
      <c r="B100" s="10"/>
      <c r="C100" s="11"/>
      <c r="D100" s="19"/>
      <c r="E100" s="20"/>
      <c r="F100" s="14"/>
      <c r="G100" s="15"/>
      <c r="H100" s="16"/>
      <c r="I100" s="17"/>
      <c r="J100" s="23"/>
      <c r="K100" s="23"/>
      <c r="L100" s="23"/>
      <c r="M100" s="23"/>
      <c r="N100" s="23"/>
      <c r="O100" s="23"/>
      <c r="P100" s="23"/>
    </row>
    <row r="101" spans="1:16" x14ac:dyDescent="0.25">
      <c r="A101" s="22"/>
      <c r="B101" s="10"/>
      <c r="C101" s="11"/>
      <c r="D101" s="19"/>
      <c r="E101" s="20"/>
      <c r="F101" s="14"/>
      <c r="G101" s="15"/>
      <c r="H101" s="16"/>
      <c r="I101" s="17"/>
      <c r="J101" s="21"/>
      <c r="K101" s="21"/>
      <c r="L101" s="21"/>
      <c r="M101" s="21"/>
      <c r="N101" s="21"/>
      <c r="O101" s="21"/>
      <c r="P101" s="21"/>
    </row>
    <row r="102" spans="1:16" x14ac:dyDescent="0.25">
      <c r="A102" s="22"/>
      <c r="B102" s="10"/>
      <c r="C102" s="11"/>
      <c r="D102" s="19"/>
      <c r="E102" s="20"/>
      <c r="F102" s="14"/>
      <c r="G102" s="15"/>
      <c r="H102" s="16"/>
      <c r="I102" s="17"/>
      <c r="J102" s="21"/>
      <c r="K102" s="21"/>
      <c r="L102" s="21"/>
      <c r="M102" s="21"/>
      <c r="N102" s="21"/>
      <c r="O102" s="21"/>
      <c r="P102" s="21"/>
    </row>
    <row r="103" spans="1:16" x14ac:dyDescent="0.25">
      <c r="A103" s="22"/>
      <c r="B103" s="10"/>
      <c r="C103" s="11"/>
      <c r="D103" s="19"/>
      <c r="E103" s="20"/>
      <c r="F103" s="14"/>
      <c r="G103" s="15"/>
      <c r="H103" s="16"/>
      <c r="I103" s="17"/>
      <c r="J103" s="21"/>
      <c r="K103" s="21"/>
      <c r="L103" s="21"/>
      <c r="M103" s="21"/>
      <c r="N103" s="21"/>
      <c r="O103" s="21"/>
      <c r="P103" s="21"/>
    </row>
    <row r="104" spans="1:16" x14ac:dyDescent="0.25">
      <c r="A104" s="22"/>
      <c r="B104" s="10"/>
      <c r="C104" s="11"/>
      <c r="D104" s="19"/>
      <c r="E104" s="20"/>
      <c r="F104" s="14"/>
      <c r="G104" s="15"/>
      <c r="H104" s="16"/>
      <c r="I104" s="17"/>
      <c r="J104" s="2"/>
      <c r="K104" s="2"/>
      <c r="L104" s="2"/>
      <c r="M104" s="2"/>
      <c r="N104" s="2"/>
      <c r="O104" s="2"/>
      <c r="P104" s="2"/>
    </row>
    <row r="105" spans="1:16" x14ac:dyDescent="0.25">
      <c r="A105" s="22"/>
      <c r="B105" s="10"/>
      <c r="C105" s="11"/>
      <c r="D105" s="19"/>
      <c r="E105" s="20"/>
      <c r="F105" s="14"/>
      <c r="G105" s="15"/>
      <c r="H105" s="16"/>
      <c r="I105" s="17"/>
      <c r="J105" s="2"/>
      <c r="K105" s="2"/>
      <c r="L105" s="2"/>
      <c r="M105" s="2"/>
      <c r="N105" s="2"/>
      <c r="O105" s="2"/>
      <c r="P105" s="2"/>
    </row>
    <row r="106" spans="1:16" x14ac:dyDescent="0.25">
      <c r="A106" s="22"/>
      <c r="B106" s="10"/>
      <c r="C106" s="11"/>
      <c r="D106" s="19"/>
      <c r="E106" s="20"/>
      <c r="F106" s="14"/>
      <c r="G106" s="15"/>
      <c r="H106" s="16"/>
      <c r="I106" s="17"/>
      <c r="J106" s="21"/>
      <c r="K106" s="21"/>
      <c r="L106" s="21"/>
      <c r="M106" s="21"/>
      <c r="N106" s="21"/>
      <c r="O106" s="21"/>
      <c r="P106" s="21"/>
    </row>
    <row r="107" spans="1:16" x14ac:dyDescent="0.25">
      <c r="A107" s="22"/>
      <c r="B107" s="10"/>
      <c r="C107" s="11"/>
      <c r="D107" s="19"/>
      <c r="E107" s="20"/>
      <c r="F107" s="14"/>
      <c r="G107" s="15"/>
      <c r="H107" s="16"/>
      <c r="I107" s="17"/>
      <c r="J107" s="21"/>
      <c r="K107" s="21"/>
      <c r="L107" s="21"/>
      <c r="M107" s="21"/>
      <c r="N107" s="21"/>
      <c r="O107" s="21"/>
      <c r="P107" s="21"/>
    </row>
    <row r="108" spans="1:16" x14ac:dyDescent="0.25">
      <c r="A108" s="22"/>
      <c r="B108" s="10"/>
      <c r="C108" s="11"/>
      <c r="D108" s="19"/>
      <c r="E108" s="20"/>
      <c r="F108" s="14"/>
      <c r="G108" s="15"/>
      <c r="H108" s="16"/>
      <c r="I108" s="17"/>
      <c r="J108" s="2"/>
      <c r="K108" s="2"/>
      <c r="L108" s="2"/>
      <c r="M108" s="2"/>
      <c r="N108" s="2"/>
      <c r="O108" s="2"/>
      <c r="P108" s="2"/>
    </row>
    <row r="109" spans="1:16" x14ac:dyDescent="0.25">
      <c r="A109" s="22"/>
      <c r="B109" s="10"/>
      <c r="C109" s="11"/>
      <c r="D109" s="19"/>
      <c r="E109" s="20"/>
      <c r="F109" s="14"/>
      <c r="G109" s="15"/>
      <c r="H109" s="16"/>
      <c r="I109" s="17"/>
      <c r="J109" s="2"/>
      <c r="K109" s="2"/>
      <c r="L109" s="2"/>
      <c r="M109" s="2"/>
      <c r="N109" s="2"/>
      <c r="O109" s="2"/>
      <c r="P109" s="2"/>
    </row>
    <row r="110" spans="1:16" x14ac:dyDescent="0.25">
      <c r="A110" s="22"/>
      <c r="B110" s="10"/>
      <c r="C110" s="11"/>
      <c r="D110" s="19"/>
      <c r="E110" s="20"/>
      <c r="F110" s="14"/>
      <c r="G110" s="15"/>
      <c r="H110" s="16"/>
      <c r="I110" s="17"/>
      <c r="J110" s="21"/>
      <c r="K110" s="21"/>
      <c r="L110" s="21"/>
      <c r="M110" s="21"/>
      <c r="N110" s="21"/>
      <c r="O110" s="21"/>
      <c r="P110" s="21"/>
    </row>
    <row r="111" spans="1:16" x14ac:dyDescent="0.25">
      <c r="A111" s="22"/>
      <c r="B111" s="10"/>
      <c r="C111" s="11"/>
      <c r="D111" s="19"/>
      <c r="E111" s="20"/>
      <c r="F111" s="14"/>
      <c r="G111" s="15"/>
      <c r="H111" s="16"/>
      <c r="I111" s="17"/>
      <c r="J111" s="21"/>
      <c r="K111" s="21"/>
      <c r="L111" s="21"/>
      <c r="M111" s="21"/>
      <c r="N111" s="21"/>
      <c r="O111" s="21"/>
      <c r="P111" s="21"/>
    </row>
    <row r="112" spans="1:16" x14ac:dyDescent="0.25">
      <c r="A112" s="22"/>
      <c r="B112" s="10"/>
      <c r="C112" s="11"/>
      <c r="D112" s="19"/>
      <c r="E112" s="20"/>
      <c r="F112" s="14"/>
      <c r="G112" s="15"/>
      <c r="H112" s="16"/>
      <c r="I112" s="17"/>
      <c r="J112" s="21"/>
      <c r="K112" s="21"/>
      <c r="L112" s="21"/>
      <c r="M112" s="21"/>
      <c r="N112" s="21"/>
      <c r="O112" s="21"/>
      <c r="P112" s="21"/>
    </row>
    <row r="113" spans="1:16" x14ac:dyDescent="0.25">
      <c r="A113" s="22"/>
      <c r="B113" s="10"/>
      <c r="C113" s="11"/>
      <c r="D113" s="19"/>
      <c r="E113" s="20"/>
      <c r="F113" s="14"/>
      <c r="G113" s="15"/>
      <c r="H113" s="16"/>
      <c r="I113" s="17"/>
      <c r="J113" s="21"/>
      <c r="K113" s="21"/>
      <c r="L113" s="21"/>
      <c r="M113" s="21"/>
      <c r="N113" s="21"/>
      <c r="O113" s="21"/>
      <c r="P113" s="21"/>
    </row>
    <row r="114" spans="1:16" x14ac:dyDescent="0.25">
      <c r="A114" s="22"/>
      <c r="B114" s="10"/>
      <c r="C114" s="11"/>
      <c r="D114" s="19"/>
      <c r="E114" s="20"/>
      <c r="F114" s="14"/>
      <c r="G114" s="15"/>
      <c r="H114" s="16"/>
      <c r="I114" s="17"/>
      <c r="J114" s="21"/>
      <c r="K114" s="21"/>
      <c r="L114" s="21"/>
      <c r="M114" s="21"/>
      <c r="N114" s="21"/>
      <c r="O114" s="21"/>
      <c r="P114" s="21"/>
    </row>
    <row r="115" spans="1:16" x14ac:dyDescent="0.25">
      <c r="A115" s="22"/>
      <c r="B115" s="10"/>
      <c r="C115" s="11"/>
      <c r="D115" s="19"/>
      <c r="E115" s="20"/>
      <c r="F115" s="14"/>
      <c r="G115" s="15"/>
      <c r="H115" s="16"/>
      <c r="I115" s="17"/>
      <c r="J115" s="21"/>
      <c r="K115" s="21"/>
      <c r="L115" s="21"/>
      <c r="M115" s="21"/>
      <c r="N115" s="21"/>
      <c r="O115" s="21"/>
      <c r="P115" s="21"/>
    </row>
    <row r="116" spans="1:16" x14ac:dyDescent="0.25">
      <c r="A116" s="22"/>
      <c r="B116" s="10"/>
      <c r="C116" s="11"/>
      <c r="D116" s="19"/>
      <c r="E116" s="20"/>
      <c r="F116" s="14"/>
      <c r="G116" s="15"/>
      <c r="H116" s="16"/>
      <c r="I116" s="17"/>
      <c r="J116" s="21"/>
      <c r="K116" s="21"/>
      <c r="L116" s="21"/>
      <c r="M116" s="21"/>
      <c r="N116" s="21"/>
      <c r="O116" s="21"/>
      <c r="P116" s="21"/>
    </row>
    <row r="117" spans="1:16" x14ac:dyDescent="0.25">
      <c r="A117" s="22"/>
      <c r="B117" s="10"/>
      <c r="C117" s="11"/>
      <c r="D117" s="19"/>
      <c r="E117" s="20"/>
      <c r="F117" s="14"/>
      <c r="G117" s="15"/>
      <c r="H117" s="16"/>
      <c r="I117" s="17"/>
      <c r="J117" s="21"/>
      <c r="K117" s="21"/>
      <c r="L117" s="21"/>
      <c r="M117" s="21"/>
      <c r="N117" s="21"/>
      <c r="O117" s="21"/>
      <c r="P117" s="21"/>
    </row>
    <row r="118" spans="1:16" x14ac:dyDescent="0.25">
      <c r="A118" s="22"/>
      <c r="B118" s="10"/>
      <c r="C118" s="11"/>
      <c r="D118" s="19"/>
      <c r="E118" s="20"/>
      <c r="F118" s="14"/>
      <c r="G118" s="15"/>
      <c r="H118" s="16"/>
      <c r="I118" s="17"/>
      <c r="J118" s="21"/>
      <c r="K118" s="21"/>
      <c r="L118" s="21"/>
      <c r="M118" s="21"/>
      <c r="N118" s="21"/>
      <c r="O118" s="21"/>
      <c r="P118" s="21"/>
    </row>
    <row r="119" spans="1:16" x14ac:dyDescent="0.25">
      <c r="A119" s="22"/>
      <c r="B119" s="10"/>
      <c r="C119" s="11"/>
      <c r="D119" s="19"/>
      <c r="E119" s="20"/>
      <c r="F119" s="14"/>
      <c r="G119" s="15"/>
      <c r="H119" s="16"/>
      <c r="I119" s="17"/>
      <c r="J119" s="21"/>
      <c r="K119" s="21"/>
      <c r="L119" s="21"/>
      <c r="M119" s="21"/>
      <c r="N119" s="21"/>
      <c r="O119" s="21"/>
      <c r="P119" s="21"/>
    </row>
    <row r="120" spans="1:16" x14ac:dyDescent="0.25">
      <c r="A120" s="22"/>
      <c r="B120" s="10"/>
      <c r="C120" s="11"/>
      <c r="D120" s="19"/>
      <c r="E120" s="20"/>
      <c r="F120" s="14"/>
      <c r="G120" s="15"/>
      <c r="H120" s="16"/>
      <c r="I120" s="17"/>
      <c r="J120" s="21"/>
      <c r="K120" s="21"/>
      <c r="L120" s="21"/>
      <c r="M120" s="21"/>
      <c r="N120" s="21"/>
      <c r="O120" s="21"/>
      <c r="P120" s="21"/>
    </row>
    <row r="121" spans="1:16" x14ac:dyDescent="0.25">
      <c r="A121" s="22"/>
      <c r="B121" s="10"/>
      <c r="C121" s="11"/>
      <c r="D121" s="19"/>
      <c r="E121" s="20"/>
      <c r="F121" s="14"/>
      <c r="G121" s="15"/>
      <c r="H121" s="16"/>
      <c r="I121" s="17"/>
      <c r="J121" s="21"/>
      <c r="K121" s="21"/>
      <c r="L121" s="21"/>
      <c r="M121" s="21"/>
      <c r="N121" s="21"/>
      <c r="O121" s="21"/>
      <c r="P121" s="21"/>
    </row>
    <row r="122" spans="1:16" x14ac:dyDescent="0.25">
      <c r="A122" s="22"/>
      <c r="B122" s="10"/>
      <c r="C122" s="11"/>
      <c r="D122" s="19"/>
      <c r="E122" s="20"/>
      <c r="F122" s="14"/>
      <c r="G122" s="15"/>
      <c r="H122" s="16"/>
      <c r="I122" s="17"/>
      <c r="J122" s="2"/>
      <c r="K122" s="2"/>
      <c r="L122" s="2"/>
      <c r="M122" s="2"/>
      <c r="N122" s="2"/>
      <c r="O122" s="2"/>
      <c r="P122" s="2"/>
    </row>
    <row r="123" spans="1:16" x14ac:dyDescent="0.25">
      <c r="A123" s="22"/>
      <c r="B123" s="10"/>
      <c r="C123" s="11"/>
      <c r="D123" s="19"/>
      <c r="E123" s="20"/>
      <c r="F123" s="14"/>
      <c r="G123" s="15"/>
      <c r="H123" s="16"/>
      <c r="I123" s="17"/>
      <c r="J123" s="21"/>
      <c r="K123" s="21"/>
      <c r="L123" s="21"/>
      <c r="M123" s="21"/>
      <c r="N123" s="21"/>
      <c r="O123" s="21"/>
      <c r="P123" s="21"/>
    </row>
    <row r="124" spans="1:16" x14ac:dyDescent="0.25">
      <c r="A124" s="22"/>
      <c r="B124" s="10"/>
      <c r="C124" s="11"/>
      <c r="D124" s="19"/>
      <c r="E124" s="20"/>
      <c r="F124" s="14"/>
      <c r="G124" s="15"/>
      <c r="H124" s="16"/>
      <c r="I124" s="17"/>
      <c r="J124" s="21"/>
      <c r="K124" s="21"/>
      <c r="L124" s="21"/>
      <c r="M124" s="21"/>
      <c r="N124" s="21"/>
      <c r="O124" s="21"/>
      <c r="P124" s="21"/>
    </row>
    <row r="125" spans="1:16" x14ac:dyDescent="0.25">
      <c r="A125" s="22"/>
      <c r="B125" s="10"/>
      <c r="C125" s="11"/>
      <c r="D125" s="19"/>
      <c r="E125" s="20"/>
      <c r="F125" s="14"/>
      <c r="G125" s="15"/>
      <c r="H125" s="16"/>
      <c r="I125" s="17"/>
      <c r="J125" s="21"/>
      <c r="K125" s="21"/>
      <c r="L125" s="21"/>
      <c r="M125" s="21"/>
      <c r="N125" s="21"/>
      <c r="O125" s="21"/>
      <c r="P125" s="21"/>
    </row>
    <row r="126" spans="1:16" x14ac:dyDescent="0.25">
      <c r="A126" s="22"/>
      <c r="B126" s="10"/>
      <c r="C126" s="11"/>
      <c r="D126" s="19"/>
      <c r="E126" s="20"/>
      <c r="F126" s="14"/>
      <c r="G126" s="15"/>
      <c r="H126" s="16"/>
      <c r="I126" s="17"/>
      <c r="J126" s="21"/>
      <c r="K126" s="21"/>
      <c r="L126" s="21"/>
      <c r="M126" s="21"/>
      <c r="N126" s="21"/>
      <c r="O126" s="21"/>
      <c r="P126" s="21"/>
    </row>
    <row r="127" spans="1:16" x14ac:dyDescent="0.25">
      <c r="A127" s="22"/>
      <c r="B127" s="10"/>
      <c r="C127" s="11"/>
      <c r="D127" s="19"/>
      <c r="E127" s="20"/>
      <c r="F127" s="14"/>
      <c r="G127" s="15"/>
      <c r="H127" s="16"/>
      <c r="I127" s="17"/>
      <c r="J127" s="21"/>
      <c r="K127" s="21"/>
      <c r="L127" s="21"/>
      <c r="M127" s="21"/>
      <c r="N127" s="21"/>
      <c r="O127" s="21"/>
      <c r="P127" s="21"/>
    </row>
    <row r="128" spans="1:16" x14ac:dyDescent="0.25">
      <c r="A128" s="22"/>
      <c r="B128" s="10"/>
      <c r="C128" s="11"/>
      <c r="D128" s="19"/>
      <c r="E128" s="20"/>
      <c r="F128" s="14"/>
      <c r="G128" s="15"/>
      <c r="H128" s="16"/>
      <c r="I128" s="17"/>
      <c r="J128" s="21"/>
      <c r="K128" s="21"/>
      <c r="L128" s="21"/>
      <c r="M128" s="21"/>
      <c r="N128" s="21"/>
      <c r="O128" s="21"/>
      <c r="P128" s="21"/>
    </row>
    <row r="129" spans="1:16" x14ac:dyDescent="0.25">
      <c r="A129" s="22"/>
      <c r="B129" s="10"/>
      <c r="C129" s="11"/>
      <c r="D129" s="19"/>
      <c r="E129" s="20"/>
      <c r="F129" s="14"/>
      <c r="G129" s="15"/>
      <c r="H129" s="16"/>
      <c r="I129" s="17"/>
      <c r="J129" s="21"/>
      <c r="K129" s="21"/>
      <c r="L129" s="21"/>
      <c r="M129" s="21"/>
      <c r="N129" s="21"/>
      <c r="O129" s="21"/>
      <c r="P129" s="21"/>
    </row>
    <row r="130" spans="1:16" x14ac:dyDescent="0.25">
      <c r="A130" s="22"/>
      <c r="B130" s="10"/>
      <c r="C130" s="11"/>
      <c r="D130" s="19"/>
      <c r="E130" s="20"/>
      <c r="F130" s="14"/>
      <c r="G130" s="15"/>
      <c r="H130" s="16"/>
      <c r="I130" s="17"/>
      <c r="J130" s="21"/>
      <c r="K130" s="21"/>
      <c r="L130" s="21"/>
      <c r="M130" s="21"/>
      <c r="N130" s="21"/>
      <c r="O130" s="21"/>
      <c r="P130" s="21"/>
    </row>
    <row r="131" spans="1:16" x14ac:dyDescent="0.25">
      <c r="A131" s="22"/>
      <c r="B131" s="10"/>
      <c r="C131" s="11"/>
      <c r="D131" s="19"/>
      <c r="E131" s="20"/>
      <c r="F131" s="14"/>
      <c r="G131" s="15"/>
      <c r="H131" s="16"/>
      <c r="I131" s="17"/>
      <c r="J131" s="21"/>
      <c r="K131" s="21"/>
      <c r="L131" s="21"/>
      <c r="M131" s="21"/>
      <c r="N131" s="21"/>
      <c r="O131" s="21"/>
      <c r="P131" s="21"/>
    </row>
    <row r="132" spans="1:16" x14ac:dyDescent="0.25">
      <c r="A132" s="22"/>
      <c r="B132" s="10"/>
      <c r="C132" s="11"/>
      <c r="D132" s="19"/>
      <c r="E132" s="20"/>
      <c r="F132" s="14"/>
      <c r="G132" s="15"/>
      <c r="H132" s="16"/>
      <c r="I132" s="17"/>
      <c r="J132" s="21"/>
      <c r="K132" s="21"/>
      <c r="L132" s="21"/>
      <c r="M132" s="21"/>
      <c r="N132" s="21"/>
      <c r="O132" s="21"/>
      <c r="P132" s="21"/>
    </row>
    <row r="133" spans="1:16" x14ac:dyDescent="0.25">
      <c r="A133" s="22"/>
      <c r="B133" s="10"/>
      <c r="C133" s="11"/>
      <c r="D133" s="19"/>
      <c r="E133" s="20"/>
      <c r="F133" s="14"/>
      <c r="G133" s="15"/>
      <c r="H133" s="16"/>
      <c r="I133" s="17"/>
      <c r="J133" s="21"/>
      <c r="K133" s="21"/>
      <c r="L133" s="21"/>
      <c r="M133" s="21"/>
      <c r="N133" s="21"/>
      <c r="O133" s="21"/>
      <c r="P133" s="21"/>
    </row>
    <row r="134" spans="1:16" x14ac:dyDescent="0.25">
      <c r="A134" s="22"/>
      <c r="B134" s="10"/>
      <c r="C134" s="11"/>
      <c r="D134" s="19"/>
      <c r="E134" s="20"/>
      <c r="F134" s="14"/>
      <c r="G134" s="15"/>
      <c r="H134" s="16"/>
      <c r="I134" s="17"/>
      <c r="J134" s="21"/>
      <c r="K134" s="21"/>
      <c r="L134" s="21"/>
      <c r="M134" s="21"/>
      <c r="N134" s="21"/>
      <c r="O134" s="21"/>
      <c r="P134" s="21"/>
    </row>
    <row r="135" spans="1:16" x14ac:dyDescent="0.25">
      <c r="A135" s="22"/>
      <c r="B135" s="10"/>
      <c r="C135" s="11"/>
      <c r="D135" s="19"/>
      <c r="E135" s="20"/>
      <c r="F135" s="14"/>
      <c r="G135" s="15"/>
      <c r="H135" s="16"/>
      <c r="I135" s="17"/>
      <c r="J135" s="21"/>
      <c r="K135" s="21"/>
      <c r="L135" s="21"/>
      <c r="M135" s="21"/>
      <c r="N135" s="21"/>
      <c r="O135" s="21"/>
      <c r="P135" s="21"/>
    </row>
    <row r="136" spans="1:16" x14ac:dyDescent="0.25">
      <c r="A136" s="22"/>
      <c r="B136" s="10"/>
      <c r="C136" s="11"/>
      <c r="D136" s="19"/>
      <c r="E136" s="20"/>
      <c r="F136" s="14"/>
      <c r="G136" s="15"/>
      <c r="H136" s="16"/>
      <c r="I136" s="17"/>
      <c r="J136" s="2"/>
      <c r="K136" s="2"/>
      <c r="L136" s="2"/>
      <c r="M136" s="2"/>
      <c r="N136" s="2"/>
      <c r="O136" s="2"/>
      <c r="P136" s="2"/>
    </row>
    <row r="137" spans="1:16" x14ac:dyDescent="0.25">
      <c r="A137" s="22"/>
      <c r="B137" s="10"/>
      <c r="C137" s="11"/>
      <c r="D137" s="19"/>
      <c r="E137" s="20"/>
      <c r="F137" s="14"/>
      <c r="G137" s="15"/>
      <c r="H137" s="16"/>
      <c r="I137" s="17"/>
      <c r="J137" s="21"/>
      <c r="K137" s="21"/>
      <c r="L137" s="21"/>
      <c r="M137" s="21"/>
      <c r="N137" s="21"/>
      <c r="O137" s="21"/>
      <c r="P137" s="21"/>
    </row>
    <row r="138" spans="1:16" x14ac:dyDescent="0.25">
      <c r="A138" s="22"/>
      <c r="B138" s="10"/>
      <c r="C138" s="11"/>
      <c r="D138" s="19"/>
      <c r="E138" s="20"/>
      <c r="F138" s="14"/>
      <c r="G138" s="15"/>
      <c r="H138" s="16"/>
      <c r="I138" s="17"/>
      <c r="J138" s="21"/>
      <c r="K138" s="21"/>
      <c r="L138" s="21"/>
      <c r="M138" s="21"/>
      <c r="N138" s="21"/>
      <c r="O138" s="21"/>
      <c r="P138" s="21"/>
    </row>
    <row r="139" spans="1:16" x14ac:dyDescent="0.25">
      <c r="A139" s="22"/>
      <c r="B139" s="10"/>
      <c r="C139" s="11"/>
      <c r="D139" s="19"/>
      <c r="E139" s="20"/>
      <c r="F139" s="14"/>
      <c r="G139" s="15"/>
      <c r="H139" s="16"/>
      <c r="I139" s="17"/>
      <c r="J139" s="21"/>
      <c r="K139" s="21"/>
      <c r="L139" s="21"/>
      <c r="M139" s="21"/>
      <c r="N139" s="21"/>
      <c r="O139" s="21"/>
      <c r="P139" s="21"/>
    </row>
    <row r="140" spans="1:16" x14ac:dyDescent="0.25">
      <c r="A140" s="22"/>
      <c r="B140" s="10"/>
      <c r="C140" s="11"/>
      <c r="D140" s="19"/>
      <c r="E140" s="20"/>
      <c r="F140" s="14"/>
      <c r="G140" s="15"/>
      <c r="H140" s="16"/>
      <c r="I140" s="17"/>
      <c r="J140" s="21"/>
      <c r="K140" s="21"/>
      <c r="L140" s="21"/>
      <c r="M140" s="21"/>
      <c r="N140" s="21"/>
      <c r="O140" s="21"/>
      <c r="P140" s="21"/>
    </row>
    <row r="141" spans="1:16" x14ac:dyDescent="0.25">
      <c r="A141" s="22"/>
      <c r="B141" s="10"/>
      <c r="C141" s="11"/>
      <c r="D141" s="19"/>
      <c r="E141" s="20"/>
      <c r="F141" s="14"/>
      <c r="G141" s="15"/>
      <c r="H141" s="16"/>
      <c r="I141" s="17"/>
      <c r="J141" s="21"/>
      <c r="K141" s="21"/>
      <c r="L141" s="21"/>
      <c r="M141" s="21"/>
      <c r="N141" s="21"/>
      <c r="O141" s="21"/>
      <c r="P141" s="21"/>
    </row>
  </sheetData>
  <mergeCells count="1">
    <mergeCell ref="A1:I1"/>
  </mergeCells>
  <dataValidations count="2">
    <dataValidation type="list" allowBlank="1" showErrorMessage="1" sqref="C10:C141">
      <formula1>"CARTERA,VENTA,OTRO"</formula1>
    </dataValidation>
    <dataValidation type="list" allowBlank="1" showErrorMessage="1" sqref="C4:C141">
      <formula1>"CARTERA,VENTA,OTRO"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5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7" width="17.13" customWidth="1"/>
  </cols>
  <sheetData>
    <row r="1" ht="48" customHeight="1" spans="1:29" x14ac:dyDescent="0.25">
      <c r="A1" s="24" t="s">
        <v>10</v>
      </c>
      <c r="B1" s="25"/>
      <c r="C1" s="25"/>
      <c r="D1" s="25"/>
      <c r="E1" s="25"/>
      <c r="F1" s="25"/>
      <c r="G1" s="26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 x14ac:dyDescent="0.25">
      <c r="A2" s="28"/>
      <c r="B2" s="28"/>
      <c r="C2" s="28"/>
      <c r="D2" s="29"/>
      <c r="E2" s="30"/>
      <c r="F2" s="31">
        <f>SUM(F4:F150)</f>
        <v>0</v>
      </c>
      <c r="G2" s="32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ht="27" customHeight="1" spans="1:29" x14ac:dyDescent="0.25">
      <c r="A3" s="33" t="s">
        <v>11</v>
      </c>
      <c r="B3" s="33" t="s">
        <v>4</v>
      </c>
      <c r="C3" s="34" t="s">
        <v>12</v>
      </c>
      <c r="D3" s="33" t="s">
        <v>13</v>
      </c>
      <c r="E3" s="33" t="s">
        <v>14</v>
      </c>
      <c r="F3" s="35" t="s">
        <v>15</v>
      </c>
      <c r="G3" s="33" t="s">
        <v>16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4" spans="1:29" x14ac:dyDescent="0.25">
      <c r="A4" s="37"/>
      <c r="B4" s="38"/>
      <c r="C4" s="39"/>
      <c r="D4" s="40"/>
      <c r="E4" s="41"/>
      <c r="F4" s="42"/>
      <c r="G4" s="43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x14ac:dyDescent="0.25">
      <c r="A5" s="37"/>
      <c r="B5" s="38"/>
      <c r="C5" s="39"/>
      <c r="D5" s="44"/>
      <c r="E5" s="45"/>
      <c r="F5" s="46"/>
      <c r="G5" s="39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x14ac:dyDescent="0.25">
      <c r="A6" s="37"/>
      <c r="B6" s="38"/>
      <c r="C6" s="45"/>
      <c r="D6" s="44"/>
      <c r="E6" s="45"/>
      <c r="F6" s="46"/>
      <c r="G6" s="39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29" x14ac:dyDescent="0.25">
      <c r="A7" s="37"/>
      <c r="B7" s="38"/>
      <c r="C7" s="45"/>
      <c r="D7" s="44"/>
      <c r="E7" s="45"/>
      <c r="F7" s="46"/>
      <c r="G7" s="39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29" x14ac:dyDescent="0.25">
      <c r="A8" s="37"/>
      <c r="B8" s="38"/>
      <c r="C8" s="39"/>
      <c r="D8" s="44"/>
      <c r="E8" s="45"/>
      <c r="F8" s="46"/>
      <c r="G8" s="39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x14ac:dyDescent="0.25">
      <c r="A9" s="37"/>
      <c r="B9" s="38"/>
      <c r="C9" s="39"/>
      <c r="D9" s="44"/>
      <c r="E9" s="45"/>
      <c r="F9" s="46"/>
      <c r="G9" s="39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 spans="1:29" x14ac:dyDescent="0.25">
      <c r="A10" s="37"/>
      <c r="B10" s="38"/>
      <c r="C10" s="45"/>
      <c r="D10" s="44"/>
      <c r="E10" s="45"/>
      <c r="F10" s="46"/>
      <c r="G10" s="39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spans="1:29" x14ac:dyDescent="0.25">
      <c r="A11" s="37"/>
      <c r="B11" s="38"/>
      <c r="C11" s="45"/>
      <c r="D11" s="44"/>
      <c r="E11" s="45"/>
      <c r="F11" s="46"/>
      <c r="G11" s="39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29" x14ac:dyDescent="0.25">
      <c r="A12" s="37"/>
      <c r="B12" s="38"/>
      <c r="C12" s="39"/>
      <c r="D12" s="44"/>
      <c r="E12" s="45"/>
      <c r="F12" s="46"/>
      <c r="G12" s="39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spans="1:29" x14ac:dyDescent="0.25">
      <c r="A13" s="37"/>
      <c r="B13" s="38"/>
      <c r="C13" s="39"/>
      <c r="D13" s="44"/>
      <c r="E13" s="45"/>
      <c r="F13" s="46"/>
      <c r="G13" s="39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spans="1:29" x14ac:dyDescent="0.25">
      <c r="A14" s="37"/>
      <c r="B14" s="38"/>
      <c r="C14" s="45"/>
      <c r="D14" s="44"/>
      <c r="E14" s="45"/>
      <c r="F14" s="46"/>
      <c r="G14" s="39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spans="1:29" x14ac:dyDescent="0.25">
      <c r="A15" s="37"/>
      <c r="B15" s="38"/>
      <c r="C15" s="45"/>
      <c r="D15" s="44"/>
      <c r="E15" s="45"/>
      <c r="F15" s="46"/>
      <c r="G15" s="39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29" x14ac:dyDescent="0.25">
      <c r="A16" s="37"/>
      <c r="B16" s="38"/>
      <c r="C16" s="39"/>
      <c r="D16" s="44"/>
      <c r="E16" s="45"/>
      <c r="F16" s="46"/>
      <c r="G16" s="39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 spans="1:29" x14ac:dyDescent="0.25">
      <c r="A17" s="37"/>
      <c r="B17" s="38"/>
      <c r="C17" s="39"/>
      <c r="D17" s="44"/>
      <c r="E17" s="45"/>
      <c r="F17" s="46"/>
      <c r="G17" s="39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x14ac:dyDescent="0.25">
      <c r="A18" s="37"/>
      <c r="B18" s="38"/>
      <c r="C18" s="45"/>
      <c r="D18" s="44"/>
      <c r="E18" s="45"/>
      <c r="F18" s="46"/>
      <c r="G18" s="39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 x14ac:dyDescent="0.25">
      <c r="A19" s="37"/>
      <c r="B19" s="38"/>
      <c r="C19" s="45"/>
      <c r="D19" s="44"/>
      <c r="E19" s="45"/>
      <c r="F19" s="46"/>
      <c r="G19" s="39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 x14ac:dyDescent="0.25">
      <c r="A20" s="47"/>
      <c r="B20" s="38"/>
      <c r="C20" s="39"/>
      <c r="D20" s="44"/>
      <c r="E20" s="45"/>
      <c r="F20" s="46"/>
      <c r="G20" s="39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x14ac:dyDescent="0.25">
      <c r="A21" s="47"/>
      <c r="B21" s="38"/>
      <c r="C21" s="39"/>
      <c r="D21" s="44"/>
      <c r="E21" s="45"/>
      <c r="F21" s="46"/>
      <c r="G21" s="39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 x14ac:dyDescent="0.25">
      <c r="A22" s="48"/>
      <c r="B22" s="38"/>
      <c r="C22" s="45"/>
      <c r="D22" s="44"/>
      <c r="E22" s="45"/>
      <c r="F22" s="46"/>
      <c r="G22" s="39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 x14ac:dyDescent="0.25">
      <c r="A23" s="48"/>
      <c r="B23" s="38"/>
      <c r="C23" s="45"/>
      <c r="D23" s="44"/>
      <c r="E23" s="45"/>
      <c r="F23" s="46"/>
      <c r="G23" s="39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 x14ac:dyDescent="0.25">
      <c r="A24" s="47"/>
      <c r="B24" s="38"/>
      <c r="C24" s="39"/>
      <c r="D24" s="44"/>
      <c r="E24" s="45"/>
      <c r="F24" s="46"/>
      <c r="G24" s="39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 x14ac:dyDescent="0.25">
      <c r="A25" s="47"/>
      <c r="B25" s="38"/>
      <c r="C25" s="39"/>
      <c r="D25" s="44"/>
      <c r="E25" s="45"/>
      <c r="F25" s="46"/>
      <c r="G25" s="39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 x14ac:dyDescent="0.25">
      <c r="A26" s="48"/>
      <c r="B26" s="38"/>
      <c r="C26" s="45"/>
      <c r="D26" s="44"/>
      <c r="E26" s="45"/>
      <c r="F26" s="46"/>
      <c r="G26" s="39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 x14ac:dyDescent="0.25">
      <c r="A27" s="48"/>
      <c r="B27" s="38"/>
      <c r="C27" s="45"/>
      <c r="D27" s="44"/>
      <c r="E27" s="45"/>
      <c r="F27" s="46"/>
      <c r="G27" s="39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x14ac:dyDescent="0.25">
      <c r="A28" s="47"/>
      <c r="B28" s="38"/>
      <c r="C28" s="39"/>
      <c r="D28" s="44"/>
      <c r="E28" s="45"/>
      <c r="F28" s="46"/>
      <c r="G28" s="39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spans="1:29" x14ac:dyDescent="0.25">
      <c r="A29" s="47"/>
      <c r="B29" s="38"/>
      <c r="C29" s="39"/>
      <c r="D29" s="44"/>
      <c r="E29" s="45"/>
      <c r="F29" s="46"/>
      <c r="G29" s="39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x14ac:dyDescent="0.25">
      <c r="A30" s="48"/>
      <c r="B30" s="38"/>
      <c r="C30" s="45"/>
      <c r="D30" s="44"/>
      <c r="E30" s="45"/>
      <c r="F30" s="46"/>
      <c r="G30" s="39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spans="1:29" x14ac:dyDescent="0.25">
      <c r="A31" s="48"/>
      <c r="B31" s="38"/>
      <c r="C31" s="45"/>
      <c r="D31" s="44"/>
      <c r="E31" s="45"/>
      <c r="F31" s="46"/>
      <c r="G31" s="39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29" x14ac:dyDescent="0.25">
      <c r="A32" s="47"/>
      <c r="B32" s="38"/>
      <c r="C32" s="39"/>
      <c r="D32" s="44"/>
      <c r="E32" s="45"/>
      <c r="F32" s="46"/>
      <c r="G32" s="39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29" x14ac:dyDescent="0.25">
      <c r="A33" s="47"/>
      <c r="B33" s="38"/>
      <c r="C33" s="39"/>
      <c r="D33" s="44"/>
      <c r="E33" s="45"/>
      <c r="F33" s="46"/>
      <c r="G33" s="39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29" x14ac:dyDescent="0.25">
      <c r="A34" s="48"/>
      <c r="B34" s="38"/>
      <c r="C34" s="45"/>
      <c r="D34" s="44"/>
      <c r="E34" s="45"/>
      <c r="F34" s="46"/>
      <c r="G34" s="39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spans="1:29" x14ac:dyDescent="0.25">
      <c r="A35" s="48"/>
      <c r="B35" s="38"/>
      <c r="C35" s="45"/>
      <c r="D35" s="44"/>
      <c r="E35" s="45"/>
      <c r="F35" s="46"/>
      <c r="G35" s="39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 spans="1:29" x14ac:dyDescent="0.25">
      <c r="A36" s="47"/>
      <c r="B36" s="38"/>
      <c r="C36" s="39"/>
      <c r="D36" s="44"/>
      <c r="E36" s="45"/>
      <c r="F36" s="46"/>
      <c r="G36" s="39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spans="1:29" x14ac:dyDescent="0.25">
      <c r="A37" s="47"/>
      <c r="B37" s="38"/>
      <c r="C37" s="39"/>
      <c r="D37" s="44"/>
      <c r="E37" s="45"/>
      <c r="F37" s="46"/>
      <c r="G37" s="39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spans="1:29" x14ac:dyDescent="0.25">
      <c r="A38" s="48"/>
      <c r="B38" s="38"/>
      <c r="C38" s="45"/>
      <c r="D38" s="44"/>
      <c r="E38" s="45"/>
      <c r="F38" s="46"/>
      <c r="G38" s="39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spans="1:29" x14ac:dyDescent="0.25">
      <c r="A39" s="48"/>
      <c r="B39" s="38"/>
      <c r="C39" s="45"/>
      <c r="D39" s="44"/>
      <c r="E39" s="45"/>
      <c r="F39" s="46"/>
      <c r="G39" s="39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spans="1:29" x14ac:dyDescent="0.25">
      <c r="A40" s="47"/>
      <c r="B40" s="38"/>
      <c r="C40" s="39"/>
      <c r="D40" s="44"/>
      <c r="E40" s="45"/>
      <c r="F40" s="46"/>
      <c r="G40" s="39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1:29" x14ac:dyDescent="0.25">
      <c r="A41" s="47"/>
      <c r="B41" s="38"/>
      <c r="C41" s="39"/>
      <c r="D41" s="44"/>
      <c r="E41" s="45"/>
      <c r="F41" s="46"/>
      <c r="G41" s="39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x14ac:dyDescent="0.25">
      <c r="A42" s="48"/>
      <c r="B42" s="38"/>
      <c r="C42" s="45"/>
      <c r="D42" s="44"/>
      <c r="E42" s="45"/>
      <c r="F42" s="46"/>
      <c r="G42" s="39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spans="1:29" x14ac:dyDescent="0.25">
      <c r="A43" s="48"/>
      <c r="B43" s="38"/>
      <c r="C43" s="45"/>
      <c r="D43" s="44"/>
      <c r="E43" s="45"/>
      <c r="F43" s="46"/>
      <c r="G43" s="39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spans="1:29" x14ac:dyDescent="0.25">
      <c r="A44" s="47"/>
      <c r="B44" s="38"/>
      <c r="C44" s="39"/>
      <c r="D44" s="44"/>
      <c r="E44" s="45"/>
      <c r="F44" s="46"/>
      <c r="G44" s="39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1:29" x14ac:dyDescent="0.25">
      <c r="A45" s="47"/>
      <c r="B45" s="38"/>
      <c r="C45" s="39"/>
      <c r="D45" s="44"/>
      <c r="E45" s="45"/>
      <c r="F45" s="46"/>
      <c r="G45" s="39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spans="1:29" x14ac:dyDescent="0.25">
      <c r="A46" s="48"/>
      <c r="B46" s="38"/>
      <c r="C46" s="45"/>
      <c r="D46" s="44"/>
      <c r="E46" s="45"/>
      <c r="F46" s="46"/>
      <c r="G46" s="39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1:29" x14ac:dyDescent="0.25">
      <c r="A47" s="48"/>
      <c r="B47" s="38"/>
      <c r="C47" s="45"/>
      <c r="D47" s="44"/>
      <c r="E47" s="45"/>
      <c r="F47" s="46"/>
      <c r="G47" s="39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spans="1:29" x14ac:dyDescent="0.25">
      <c r="A48" s="47"/>
      <c r="B48" s="38"/>
      <c r="C48" s="39"/>
      <c r="D48" s="44"/>
      <c r="E48" s="45"/>
      <c r="F48" s="46"/>
      <c r="G48" s="39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1:29" x14ac:dyDescent="0.25">
      <c r="A49" s="47"/>
      <c r="B49" s="38"/>
      <c r="C49" s="39"/>
      <c r="D49" s="44"/>
      <c r="E49" s="45"/>
      <c r="F49" s="46"/>
      <c r="G49" s="39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spans="1:29" x14ac:dyDescent="0.25">
      <c r="A50" s="48"/>
      <c r="B50" s="38"/>
      <c r="C50" s="45"/>
      <c r="D50" s="44"/>
      <c r="E50" s="45"/>
      <c r="F50" s="46"/>
      <c r="G50" s="39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spans="1:29" x14ac:dyDescent="0.25">
      <c r="A51" s="48"/>
      <c r="B51" s="38"/>
      <c r="C51" s="45"/>
      <c r="D51" s="44"/>
      <c r="E51" s="45"/>
      <c r="F51" s="46"/>
      <c r="G51" s="39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spans="1:29" x14ac:dyDescent="0.25">
      <c r="A52" s="47"/>
      <c r="B52" s="38"/>
      <c r="C52" s="39"/>
      <c r="D52" s="44"/>
      <c r="E52" s="45"/>
      <c r="F52" s="46"/>
      <c r="G52" s="39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1:29" x14ac:dyDescent="0.25">
      <c r="A53" s="47"/>
      <c r="B53" s="38"/>
      <c r="C53" s="39"/>
      <c r="D53" s="44"/>
      <c r="E53" s="45"/>
      <c r="F53" s="46"/>
      <c r="G53" s="39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x14ac:dyDescent="0.25">
      <c r="A54" s="48"/>
      <c r="B54" s="38"/>
      <c r="C54" s="45"/>
      <c r="D54" s="44"/>
      <c r="E54" s="45"/>
      <c r="F54" s="46"/>
      <c r="G54" s="39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1:29" x14ac:dyDescent="0.25">
      <c r="A55" s="48"/>
      <c r="B55" s="38"/>
      <c r="C55" s="45"/>
      <c r="D55" s="44"/>
      <c r="E55" s="45"/>
      <c r="F55" s="46"/>
      <c r="G55" s="39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1:29" x14ac:dyDescent="0.25">
      <c r="A56" s="47"/>
      <c r="B56" s="38"/>
      <c r="C56" s="39"/>
      <c r="D56" s="44"/>
      <c r="E56" s="45"/>
      <c r="F56" s="46"/>
      <c r="G56" s="39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1:29" x14ac:dyDescent="0.25">
      <c r="A57" s="47"/>
      <c r="B57" s="38"/>
      <c r="C57" s="39"/>
      <c r="D57" s="44"/>
      <c r="E57" s="45"/>
      <c r="F57" s="46"/>
      <c r="G57" s="39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1:29" x14ac:dyDescent="0.25">
      <c r="A58" s="48"/>
      <c r="B58" s="38"/>
      <c r="C58" s="45"/>
      <c r="D58" s="44"/>
      <c r="E58" s="45"/>
      <c r="F58" s="46"/>
      <c r="G58" s="39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1:29" x14ac:dyDescent="0.25">
      <c r="A59" s="48"/>
      <c r="B59" s="38"/>
      <c r="C59" s="45"/>
      <c r="D59" s="44"/>
      <c r="E59" s="45"/>
      <c r="F59" s="46"/>
      <c r="G59" s="39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spans="1:29" x14ac:dyDescent="0.25">
      <c r="A60" s="47"/>
      <c r="B60" s="38"/>
      <c r="C60" s="39"/>
      <c r="D60" s="44"/>
      <c r="E60" s="45"/>
      <c r="F60" s="46"/>
      <c r="G60" s="39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spans="1:29" x14ac:dyDescent="0.25">
      <c r="A61" s="47"/>
      <c r="B61" s="38"/>
      <c r="C61" s="39"/>
      <c r="D61" s="44"/>
      <c r="E61" s="45"/>
      <c r="F61" s="46"/>
      <c r="G61" s="39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spans="1:29" x14ac:dyDescent="0.25">
      <c r="A62" s="48"/>
      <c r="B62" s="38"/>
      <c r="C62" s="45"/>
      <c r="D62" s="44"/>
      <c r="E62" s="45"/>
      <c r="F62" s="46"/>
      <c r="G62" s="39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spans="1:29" x14ac:dyDescent="0.25">
      <c r="A63" s="48"/>
      <c r="B63" s="38"/>
      <c r="C63" s="45"/>
      <c r="D63" s="44"/>
      <c r="E63" s="45"/>
      <c r="F63" s="46"/>
      <c r="G63" s="39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spans="1:29" x14ac:dyDescent="0.25">
      <c r="A64" s="47"/>
      <c r="B64" s="38"/>
      <c r="C64" s="39"/>
      <c r="D64" s="44"/>
      <c r="E64" s="45"/>
      <c r="F64" s="46"/>
      <c r="G64" s="39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spans="1:29" x14ac:dyDescent="0.25">
      <c r="A65" s="47"/>
      <c r="B65" s="38"/>
      <c r="C65" s="39"/>
      <c r="D65" s="44"/>
      <c r="E65" s="45"/>
      <c r="F65" s="46"/>
      <c r="G65" s="39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spans="1:29" x14ac:dyDescent="0.25">
      <c r="A66" s="48"/>
      <c r="B66" s="38"/>
      <c r="C66" s="45"/>
      <c r="D66" s="44"/>
      <c r="E66" s="45"/>
      <c r="F66" s="46"/>
      <c r="G66" s="39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spans="1:29" x14ac:dyDescent="0.25">
      <c r="A67" s="48"/>
      <c r="B67" s="38"/>
      <c r="C67" s="45"/>
      <c r="D67" s="44"/>
      <c r="E67" s="45"/>
      <c r="F67" s="46"/>
      <c r="G67" s="39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spans="1:29" x14ac:dyDescent="0.25">
      <c r="A68" s="47"/>
      <c r="B68" s="38"/>
      <c r="C68" s="39"/>
      <c r="D68" s="44"/>
      <c r="E68" s="45"/>
      <c r="F68" s="46"/>
      <c r="G68" s="39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spans="1:29" x14ac:dyDescent="0.25">
      <c r="A69" s="47"/>
      <c r="B69" s="38"/>
      <c r="C69" s="39"/>
      <c r="D69" s="44"/>
      <c r="E69" s="45"/>
      <c r="F69" s="46"/>
      <c r="G69" s="39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spans="1:29" x14ac:dyDescent="0.25">
      <c r="A70" s="48"/>
      <c r="B70" s="38"/>
      <c r="C70" s="45"/>
      <c r="D70" s="44"/>
      <c r="E70" s="45"/>
      <c r="F70" s="46"/>
      <c r="G70" s="39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spans="1:29" x14ac:dyDescent="0.25">
      <c r="A71" s="48"/>
      <c r="B71" s="38"/>
      <c r="C71" s="45"/>
      <c r="D71" s="44"/>
      <c r="E71" s="45"/>
      <c r="F71" s="46"/>
      <c r="G71" s="39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spans="1:29" x14ac:dyDescent="0.25">
      <c r="A72" s="47"/>
      <c r="B72" s="38"/>
      <c r="C72" s="39"/>
      <c r="D72" s="44"/>
      <c r="E72" s="45"/>
      <c r="F72" s="46"/>
      <c r="G72" s="39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spans="1:29" x14ac:dyDescent="0.25">
      <c r="A73" s="47"/>
      <c r="B73" s="38"/>
      <c r="C73" s="39"/>
      <c r="D73" s="44"/>
      <c r="E73" s="45"/>
      <c r="F73" s="46"/>
      <c r="G73" s="39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x14ac:dyDescent="0.25">
      <c r="A74" s="48"/>
      <c r="B74" s="38"/>
      <c r="C74" s="45"/>
      <c r="D74" s="44"/>
      <c r="E74" s="45"/>
      <c r="F74" s="46"/>
      <c r="G74" s="39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spans="1:29" x14ac:dyDescent="0.25">
      <c r="A75" s="48"/>
      <c r="B75" s="38"/>
      <c r="C75" s="45"/>
      <c r="D75" s="44"/>
      <c r="E75" s="45"/>
      <c r="F75" s="46"/>
      <c r="G75" s="39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spans="1:29" x14ac:dyDescent="0.25">
      <c r="A76" s="47"/>
      <c r="B76" s="38"/>
      <c r="C76" s="39"/>
      <c r="D76" s="44"/>
      <c r="E76" s="45"/>
      <c r="F76" s="46"/>
      <c r="G76" s="39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spans="1:29" x14ac:dyDescent="0.25">
      <c r="A77" s="47"/>
      <c r="B77" s="38"/>
      <c r="C77" s="39"/>
      <c r="D77" s="44"/>
      <c r="E77" s="45"/>
      <c r="F77" s="46"/>
      <c r="G77" s="39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spans="1:29" x14ac:dyDescent="0.25">
      <c r="A78" s="48"/>
      <c r="B78" s="38"/>
      <c r="C78" s="45"/>
      <c r="D78" s="44"/>
      <c r="E78" s="45"/>
      <c r="F78" s="46"/>
      <c r="G78" s="39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spans="1:29" x14ac:dyDescent="0.25">
      <c r="A79" s="48"/>
      <c r="B79" s="38"/>
      <c r="C79" s="45"/>
      <c r="D79" s="44"/>
      <c r="E79" s="45"/>
      <c r="F79" s="46"/>
      <c r="G79" s="39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1:29" x14ac:dyDescent="0.25">
      <c r="A80" s="47"/>
      <c r="B80" s="38"/>
      <c r="C80" s="39"/>
      <c r="D80" s="44"/>
      <c r="E80" s="45"/>
      <c r="F80" s="46"/>
      <c r="G80" s="39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29" x14ac:dyDescent="0.25">
      <c r="A81" s="47"/>
      <c r="B81" s="38"/>
      <c r="C81" s="39"/>
      <c r="D81" s="44"/>
      <c r="E81" s="45"/>
      <c r="F81" s="46"/>
      <c r="G81" s="39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1:29" x14ac:dyDescent="0.25">
      <c r="A82" s="48"/>
      <c r="B82" s="38"/>
      <c r="C82" s="45"/>
      <c r="D82" s="44"/>
      <c r="E82" s="45"/>
      <c r="F82" s="46"/>
      <c r="G82" s="39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1:29" x14ac:dyDescent="0.25">
      <c r="A83" s="48"/>
      <c r="B83" s="38"/>
      <c r="C83" s="45"/>
      <c r="D83" s="44"/>
      <c r="E83" s="45"/>
      <c r="F83" s="46"/>
      <c r="G83" s="39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1:29" x14ac:dyDescent="0.25">
      <c r="A84" s="47"/>
      <c r="B84" s="38"/>
      <c r="C84" s="39"/>
      <c r="D84" s="44"/>
      <c r="E84" s="45"/>
      <c r="F84" s="46"/>
      <c r="G84" s="39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1:29" x14ac:dyDescent="0.25">
      <c r="A85" s="47"/>
      <c r="B85" s="38"/>
      <c r="C85" s="39"/>
      <c r="D85" s="44"/>
      <c r="E85" s="45"/>
      <c r="F85" s="46"/>
      <c r="G85" s="39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1:29" x14ac:dyDescent="0.25">
      <c r="A86" s="48"/>
      <c r="B86" s="38"/>
      <c r="C86" s="45"/>
      <c r="D86" s="44"/>
      <c r="E86" s="45"/>
      <c r="F86" s="46"/>
      <c r="G86" s="39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1:29" x14ac:dyDescent="0.25">
      <c r="A87" s="48"/>
      <c r="B87" s="38"/>
      <c r="C87" s="45"/>
      <c r="D87" s="44"/>
      <c r="E87" s="45"/>
      <c r="F87" s="46"/>
      <c r="G87" s="39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1:29" x14ac:dyDescent="0.25">
      <c r="A88" s="47"/>
      <c r="B88" s="38"/>
      <c r="C88" s="39"/>
      <c r="D88" s="44"/>
      <c r="E88" s="45"/>
      <c r="F88" s="46"/>
      <c r="G88" s="39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1:29" x14ac:dyDescent="0.25">
      <c r="A89" s="47"/>
      <c r="B89" s="38"/>
      <c r="C89" s="39"/>
      <c r="D89" s="44"/>
      <c r="E89" s="45"/>
      <c r="F89" s="46"/>
      <c r="G89" s="39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1:29" x14ac:dyDescent="0.25">
      <c r="A90" s="48"/>
      <c r="B90" s="38"/>
      <c r="C90" s="45"/>
      <c r="D90" s="44"/>
      <c r="E90" s="45"/>
      <c r="F90" s="46"/>
      <c r="G90" s="39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1:29" x14ac:dyDescent="0.25">
      <c r="A91" s="48"/>
      <c r="B91" s="38"/>
      <c r="C91" s="45"/>
      <c r="D91" s="44"/>
      <c r="E91" s="45"/>
      <c r="F91" s="46"/>
      <c r="G91" s="39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1:29" x14ac:dyDescent="0.25">
      <c r="A92" s="47"/>
      <c r="B92" s="38"/>
      <c r="C92" s="39"/>
      <c r="D92" s="44"/>
      <c r="E92" s="45"/>
      <c r="F92" s="46"/>
      <c r="G92" s="39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29" x14ac:dyDescent="0.25">
      <c r="A93" s="47"/>
      <c r="B93" s="38"/>
      <c r="C93" s="39"/>
      <c r="D93" s="44"/>
      <c r="E93" s="45"/>
      <c r="F93" s="46"/>
      <c r="G93" s="39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1:29" x14ac:dyDescent="0.25">
      <c r="A94" s="48"/>
      <c r="B94" s="38"/>
      <c r="C94" s="45"/>
      <c r="D94" s="44"/>
      <c r="E94" s="45"/>
      <c r="F94" s="46"/>
      <c r="G94" s="39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1:29" x14ac:dyDescent="0.25">
      <c r="A95" s="48"/>
      <c r="B95" s="38"/>
      <c r="C95" s="45"/>
      <c r="D95" s="44"/>
      <c r="E95" s="45"/>
      <c r="F95" s="46"/>
      <c r="G95" s="39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1:29" x14ac:dyDescent="0.25">
      <c r="A96" s="47"/>
      <c r="B96" s="38"/>
      <c r="C96" s="39"/>
      <c r="D96" s="44"/>
      <c r="E96" s="45"/>
      <c r="F96" s="46"/>
      <c r="G96" s="39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1:29" x14ac:dyDescent="0.25">
      <c r="A97" s="47"/>
      <c r="B97" s="38"/>
      <c r="C97" s="39"/>
      <c r="D97" s="44"/>
      <c r="E97" s="45"/>
      <c r="F97" s="46"/>
      <c r="G97" s="39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1:29" x14ac:dyDescent="0.25">
      <c r="A98" s="48"/>
      <c r="B98" s="38"/>
      <c r="C98" s="45"/>
      <c r="D98" s="44"/>
      <c r="E98" s="45"/>
      <c r="F98" s="46"/>
      <c r="G98" s="39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x14ac:dyDescent="0.25">
      <c r="A99" s="48"/>
      <c r="B99" s="38"/>
      <c r="C99" s="45"/>
      <c r="D99" s="44"/>
      <c r="E99" s="45"/>
      <c r="F99" s="46"/>
      <c r="G99" s="39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1:29" x14ac:dyDescent="0.25">
      <c r="A100" s="47"/>
      <c r="B100" s="38"/>
      <c r="C100" s="39"/>
      <c r="D100" s="44"/>
      <c r="E100" s="45"/>
      <c r="F100" s="46"/>
      <c r="G100" s="39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1:29" x14ac:dyDescent="0.25">
      <c r="A101" s="47"/>
      <c r="B101" s="38"/>
      <c r="C101" s="39"/>
      <c r="D101" s="44"/>
      <c r="E101" s="45"/>
      <c r="F101" s="46"/>
      <c r="G101" s="39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1:29" x14ac:dyDescent="0.25">
      <c r="A102" s="48"/>
      <c r="B102" s="38"/>
      <c r="C102" s="45"/>
      <c r="D102" s="44"/>
      <c r="E102" s="45"/>
      <c r="F102" s="46"/>
      <c r="G102" s="39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1:29" x14ac:dyDescent="0.25">
      <c r="A103" s="48"/>
      <c r="B103" s="38"/>
      <c r="C103" s="45"/>
      <c r="D103" s="44"/>
      <c r="E103" s="45"/>
      <c r="F103" s="46"/>
      <c r="G103" s="39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1:29" x14ac:dyDescent="0.25">
      <c r="A104" s="47"/>
      <c r="B104" s="38"/>
      <c r="C104" s="39"/>
      <c r="D104" s="44"/>
      <c r="E104" s="45"/>
      <c r="F104" s="46"/>
      <c r="G104" s="39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1:29" x14ac:dyDescent="0.25">
      <c r="A105" s="47"/>
      <c r="B105" s="38"/>
      <c r="C105" s="39"/>
      <c r="D105" s="44"/>
      <c r="E105" s="45"/>
      <c r="F105" s="46"/>
      <c r="G105" s="39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29" x14ac:dyDescent="0.25">
      <c r="A106" s="48"/>
      <c r="B106" s="38"/>
      <c r="C106" s="45"/>
      <c r="D106" s="44"/>
      <c r="E106" s="45"/>
      <c r="F106" s="46"/>
      <c r="G106" s="39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1:29" x14ac:dyDescent="0.25">
      <c r="A107" s="48"/>
      <c r="B107" s="38"/>
      <c r="C107" s="45"/>
      <c r="D107" s="44"/>
      <c r="E107" s="45"/>
      <c r="F107" s="46"/>
      <c r="G107" s="39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1:29" x14ac:dyDescent="0.25">
      <c r="A108" s="47"/>
      <c r="B108" s="38"/>
      <c r="C108" s="39"/>
      <c r="D108" s="44"/>
      <c r="E108" s="45"/>
      <c r="F108" s="46"/>
      <c r="G108" s="39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spans="1:29" x14ac:dyDescent="0.25">
      <c r="A109" s="47"/>
      <c r="B109" s="38"/>
      <c r="C109" s="39"/>
      <c r="D109" s="44"/>
      <c r="E109" s="45"/>
      <c r="F109" s="46"/>
      <c r="G109" s="39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spans="1:29" x14ac:dyDescent="0.25">
      <c r="A110" s="48"/>
      <c r="B110" s="38"/>
      <c r="C110" s="45"/>
      <c r="D110" s="44"/>
      <c r="E110" s="45"/>
      <c r="F110" s="46"/>
      <c r="G110" s="39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x14ac:dyDescent="0.25">
      <c r="A111" s="48"/>
      <c r="B111" s="38"/>
      <c r="C111" s="45"/>
      <c r="D111" s="44"/>
      <c r="E111" s="45"/>
      <c r="F111" s="46"/>
      <c r="G111" s="39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spans="1:29" x14ac:dyDescent="0.25">
      <c r="A112" s="47"/>
      <c r="B112" s="38"/>
      <c r="C112" s="39"/>
      <c r="D112" s="44"/>
      <c r="E112" s="45"/>
      <c r="F112" s="46"/>
      <c r="G112" s="39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spans="1:29" x14ac:dyDescent="0.25">
      <c r="A113" s="47"/>
      <c r="B113" s="38"/>
      <c r="C113" s="39"/>
      <c r="D113" s="44"/>
      <c r="E113" s="45"/>
      <c r="F113" s="46"/>
      <c r="G113" s="39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spans="1:29" x14ac:dyDescent="0.25">
      <c r="A114" s="48"/>
      <c r="B114" s="38"/>
      <c r="C114" s="45"/>
      <c r="D114" s="44"/>
      <c r="E114" s="45"/>
      <c r="F114" s="46"/>
      <c r="G114" s="39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spans="1:29" x14ac:dyDescent="0.25">
      <c r="A115" s="48"/>
      <c r="B115" s="38"/>
      <c r="C115" s="45"/>
      <c r="D115" s="44"/>
      <c r="E115" s="45"/>
      <c r="F115" s="46"/>
      <c r="G115" s="39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spans="1:29" x14ac:dyDescent="0.25">
      <c r="A116" s="47"/>
      <c r="B116" s="38"/>
      <c r="C116" s="39"/>
      <c r="D116" s="44"/>
      <c r="E116" s="45"/>
      <c r="F116" s="46"/>
      <c r="G116" s="39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spans="1:29" x14ac:dyDescent="0.25">
      <c r="A117" s="47"/>
      <c r="B117" s="38"/>
      <c r="C117" s="39"/>
      <c r="D117" s="44"/>
      <c r="E117" s="45"/>
      <c r="F117" s="46"/>
      <c r="G117" s="39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spans="1:29" x14ac:dyDescent="0.25">
      <c r="A118" s="48"/>
      <c r="B118" s="38"/>
      <c r="C118" s="45"/>
      <c r="D118" s="44"/>
      <c r="E118" s="45"/>
      <c r="F118" s="46"/>
      <c r="G118" s="39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spans="1:29" x14ac:dyDescent="0.25">
      <c r="A119" s="48"/>
      <c r="B119" s="38"/>
      <c r="C119" s="45"/>
      <c r="D119" s="44"/>
      <c r="E119" s="45"/>
      <c r="F119" s="46"/>
      <c r="G119" s="39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spans="1:29" x14ac:dyDescent="0.25">
      <c r="A120" s="47"/>
      <c r="B120" s="38"/>
      <c r="C120" s="39"/>
      <c r="D120" s="44"/>
      <c r="E120" s="45"/>
      <c r="F120" s="46"/>
      <c r="G120" s="39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spans="1:29" x14ac:dyDescent="0.25">
      <c r="A121" s="47"/>
      <c r="B121" s="38"/>
      <c r="C121" s="39"/>
      <c r="D121" s="44"/>
      <c r="E121" s="45"/>
      <c r="F121" s="46"/>
      <c r="G121" s="39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spans="1:29" x14ac:dyDescent="0.25">
      <c r="A122" s="48"/>
      <c r="B122" s="38"/>
      <c r="C122" s="45"/>
      <c r="D122" s="44"/>
      <c r="E122" s="45"/>
      <c r="F122" s="46"/>
      <c r="G122" s="39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spans="1:29" x14ac:dyDescent="0.25">
      <c r="A123" s="48"/>
      <c r="B123" s="38"/>
      <c r="C123" s="45"/>
      <c r="D123" s="44"/>
      <c r="E123" s="45"/>
      <c r="F123" s="46"/>
      <c r="G123" s="39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spans="1:29" x14ac:dyDescent="0.25">
      <c r="A124" s="47"/>
      <c r="B124" s="38"/>
      <c r="C124" s="39"/>
      <c r="D124" s="44"/>
      <c r="E124" s="45"/>
      <c r="F124" s="46"/>
      <c r="G124" s="39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spans="1:29" x14ac:dyDescent="0.25">
      <c r="A125" s="47"/>
      <c r="B125" s="38"/>
      <c r="C125" s="39"/>
      <c r="D125" s="44"/>
      <c r="E125" s="45"/>
      <c r="F125" s="46"/>
      <c r="G125" s="39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spans="1:29" x14ac:dyDescent="0.25">
      <c r="A126" s="48"/>
      <c r="B126" s="38"/>
      <c r="C126" s="45"/>
      <c r="D126" s="44"/>
      <c r="E126" s="45"/>
      <c r="F126" s="46"/>
      <c r="G126" s="39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spans="1:29" x14ac:dyDescent="0.25">
      <c r="A127" s="48"/>
      <c r="B127" s="38"/>
      <c r="C127" s="45"/>
      <c r="D127" s="44"/>
      <c r="E127" s="45"/>
      <c r="F127" s="46"/>
      <c r="G127" s="39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spans="1:29" x14ac:dyDescent="0.25">
      <c r="A128" s="47"/>
      <c r="B128" s="38"/>
      <c r="C128" s="39"/>
      <c r="D128" s="44"/>
      <c r="E128" s="45"/>
      <c r="F128" s="46"/>
      <c r="G128" s="39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spans="1:29" x14ac:dyDescent="0.25">
      <c r="A129" s="47"/>
      <c r="B129" s="38"/>
      <c r="C129" s="39"/>
      <c r="D129" s="44"/>
      <c r="E129" s="45"/>
      <c r="F129" s="46"/>
      <c r="G129" s="39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spans="1:29" x14ac:dyDescent="0.25">
      <c r="A130" s="48"/>
      <c r="B130" s="38"/>
      <c r="C130" s="45"/>
      <c r="D130" s="44"/>
      <c r="E130" s="45"/>
      <c r="F130" s="46"/>
      <c r="G130" s="39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spans="1:29" x14ac:dyDescent="0.25">
      <c r="A131" s="48"/>
      <c r="B131" s="38"/>
      <c r="C131" s="45"/>
      <c r="D131" s="44"/>
      <c r="E131" s="45"/>
      <c r="F131" s="46"/>
      <c r="G131" s="39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spans="1:29" x14ac:dyDescent="0.25">
      <c r="A132" s="47"/>
      <c r="B132" s="38"/>
      <c r="C132" s="39"/>
      <c r="D132" s="44"/>
      <c r="E132" s="45"/>
      <c r="F132" s="46"/>
      <c r="G132" s="39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x14ac:dyDescent="0.25">
      <c r="A133" s="47"/>
      <c r="B133" s="38"/>
      <c r="C133" s="39"/>
      <c r="D133" s="44"/>
      <c r="E133" s="45"/>
      <c r="F133" s="46"/>
      <c r="G133" s="39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spans="1:29" x14ac:dyDescent="0.25">
      <c r="A134" s="48"/>
      <c r="B134" s="38"/>
      <c r="C134" s="45"/>
      <c r="D134" s="44"/>
      <c r="E134" s="45"/>
      <c r="F134" s="46"/>
      <c r="G134" s="39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spans="1:29" x14ac:dyDescent="0.25">
      <c r="A135" s="48"/>
      <c r="B135" s="38"/>
      <c r="C135" s="45"/>
      <c r="D135" s="44"/>
      <c r="E135" s="45"/>
      <c r="F135" s="46"/>
      <c r="G135" s="39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spans="1:29" x14ac:dyDescent="0.25">
      <c r="A136" s="47"/>
      <c r="B136" s="38"/>
      <c r="C136" s="39"/>
      <c r="D136" s="44"/>
      <c r="E136" s="45"/>
      <c r="F136" s="46"/>
      <c r="G136" s="39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1:29" x14ac:dyDescent="0.25">
      <c r="A137" s="47"/>
      <c r="B137" s="38"/>
      <c r="C137" s="39"/>
      <c r="D137" s="44"/>
      <c r="E137" s="45"/>
      <c r="F137" s="46"/>
      <c r="G137" s="39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1:29" x14ac:dyDescent="0.25">
      <c r="A138" s="48"/>
      <c r="B138" s="38"/>
      <c r="C138" s="45"/>
      <c r="D138" s="44"/>
      <c r="E138" s="45"/>
      <c r="F138" s="46"/>
      <c r="G138" s="39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1:29" x14ac:dyDescent="0.25">
      <c r="A139" s="48"/>
      <c r="B139" s="38"/>
      <c r="C139" s="45"/>
      <c r="D139" s="44"/>
      <c r="E139" s="45"/>
      <c r="F139" s="46"/>
      <c r="G139" s="39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1:29" x14ac:dyDescent="0.25">
      <c r="A140" s="47"/>
      <c r="B140" s="38"/>
      <c r="C140" s="39"/>
      <c r="D140" s="44"/>
      <c r="E140" s="45"/>
      <c r="F140" s="46"/>
      <c r="G140" s="39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1:29" x14ac:dyDescent="0.25">
      <c r="A141" s="47"/>
      <c r="B141" s="38"/>
      <c r="C141" s="39"/>
      <c r="D141" s="44"/>
      <c r="E141" s="45"/>
      <c r="F141" s="46"/>
      <c r="G141" s="39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1:29" x14ac:dyDescent="0.25">
      <c r="A142" s="48"/>
      <c r="B142" s="38"/>
      <c r="C142" s="45"/>
      <c r="D142" s="44"/>
      <c r="E142" s="45"/>
      <c r="F142" s="46"/>
      <c r="G142" s="39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1:29" x14ac:dyDescent="0.25">
      <c r="A143" s="48"/>
      <c r="B143" s="38"/>
      <c r="C143" s="45"/>
      <c r="D143" s="44"/>
      <c r="E143" s="45"/>
      <c r="F143" s="46"/>
      <c r="G143" s="39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1:29" x14ac:dyDescent="0.25">
      <c r="A144" s="47"/>
      <c r="B144" s="38"/>
      <c r="C144" s="39"/>
      <c r="D144" s="44"/>
      <c r="E144" s="45"/>
      <c r="F144" s="46"/>
      <c r="G144" s="39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x14ac:dyDescent="0.25">
      <c r="A145" s="47"/>
      <c r="B145" s="38"/>
      <c r="C145" s="39"/>
      <c r="D145" s="44"/>
      <c r="E145" s="45"/>
      <c r="F145" s="46"/>
      <c r="G145" s="39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1:29" x14ac:dyDescent="0.25">
      <c r="A146" s="48"/>
      <c r="B146" s="38"/>
      <c r="C146" s="45"/>
      <c r="D146" s="44"/>
      <c r="E146" s="45"/>
      <c r="F146" s="46"/>
      <c r="G146" s="39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spans="1:29" x14ac:dyDescent="0.25">
      <c r="A147" s="48"/>
      <c r="B147" s="38"/>
      <c r="C147" s="45"/>
      <c r="D147" s="44"/>
      <c r="E147" s="45"/>
      <c r="F147" s="46"/>
      <c r="G147" s="39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spans="1:29" x14ac:dyDescent="0.25">
      <c r="A148" s="47"/>
      <c r="B148" s="38"/>
      <c r="C148" s="39"/>
      <c r="D148" s="44"/>
      <c r="E148" s="45"/>
      <c r="F148" s="46"/>
      <c r="G148" s="39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spans="1:29" x14ac:dyDescent="0.25">
      <c r="A149" s="47"/>
      <c r="B149" s="38"/>
      <c r="C149" s="39"/>
      <c r="D149" s="44"/>
      <c r="E149" s="45"/>
      <c r="F149" s="46"/>
      <c r="G149" s="39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spans="1:29" x14ac:dyDescent="0.25">
      <c r="A150" s="48"/>
      <c r="B150" s="38"/>
      <c r="C150" s="45"/>
      <c r="D150" s="44"/>
      <c r="E150" s="45"/>
      <c r="F150" s="46"/>
      <c r="G150" s="39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</sheetData>
  <mergeCells count="1">
    <mergeCell ref="A1:G1"/>
  </mergeCells>
  <dataValidations count="2">
    <dataValidation type="list" allowBlank="1" showErrorMessage="1" sqref="D10:D150">
      <formula1>"Comisiones,Herramientas,Impuestos,Nómina,Otros,Proveedores,Publicidad,Viajes,Mentores,Educacion"</formula1>
    </dataValidation>
    <dataValidation type="list" allowBlank="1" showErrorMessage="1" sqref="D4:D150">
      <formula1>"Comisiones,Herramientas,Impuestos,Nómina,Otros,Proveedores,Publicidad,Viajes,Mentores,Educacion"</formula1>
    </dataValidation>
  </dataValidation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75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3.88" customWidth="1"/>
    <col min="3" max="3" width="17" customWidth="1"/>
    <col min="4" max="4" width="16.13" customWidth="1"/>
    <col min="5" max="5" width="10.13" customWidth="1"/>
    <col min="6" max="6" width="15.63" customWidth="1"/>
    <col min="7" max="8" width="15.38" customWidth="1"/>
    <col min="9" max="9" width="16.25" customWidth="1"/>
    <col min="13" max="13" width="18.13" customWidth="1"/>
  </cols>
  <sheetData>
    <row r="1" spans="1:20" x14ac:dyDescent="0.25">
      <c r="A1" s="49" t="s">
        <v>17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 s="50"/>
      <c r="Q1" s="50"/>
      <c r="R1" s="50"/>
    </row>
    <row r="2" spans="1:2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 s="50"/>
      <c r="Q2" s="50"/>
      <c r="R2" s="50"/>
    </row>
    <row r="3" spans="1:20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 s="50"/>
      <c r="Q3" s="50"/>
      <c r="R3" s="50"/>
    </row>
    <row r="4" spans="1:20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 s="50"/>
      <c r="Q4" s="50"/>
      <c r="R4" s="50"/>
    </row>
    <row r="5" spans="1:20" x14ac:dyDescent="0.25">
      <c r="A5" s="50"/>
      <c r="B5" s="51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20" x14ac:dyDescent="0.25">
      <c r="A6" s="52" t="s">
        <v>18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 s="50"/>
      <c r="Q6" s="50"/>
      <c r="R6" s="50"/>
    </row>
    <row r="7" spans="1:20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 s="50"/>
      <c r="Q7" s="50"/>
      <c r="R7" s="50"/>
    </row>
    <row r="8" spans="1:20" x14ac:dyDescent="0.25">
      <c r="A8" s="50"/>
      <c r="B8" s="51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</row>
    <row r="9" spans="1:20" x14ac:dyDescent="0.25">
      <c r="A9" s="50"/>
      <c r="B9" s="51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</row>
    <row r="10" spans="1:20" x14ac:dyDescent="0.25">
      <c r="A10" s="50"/>
      <c r="B10" s="51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</row>
    <row r="11" spans="1:18" x14ac:dyDescent="0.25">
      <c r="A11" s="50"/>
      <c r="B11" s="51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25">
      <c r="A12" s="50"/>
      <c r="B12" s="53">
        <f>F59-C23</f>
        <v>0</v>
      </c>
      <c r="C12" s="54"/>
      <c r="D12" s="50"/>
      <c r="E12" s="50"/>
      <c r="F12" s="50"/>
      <c r="G12" s="50"/>
      <c r="H12" s="55">
        <f>O59-J33</f>
        <v>0</v>
      </c>
      <c r="I12"/>
      <c r="J12"/>
      <c r="K12" s="50"/>
      <c r="L12" s="50"/>
      <c r="M12" s="50"/>
      <c r="N12" s="50"/>
      <c r="O12" s="50"/>
      <c r="P12" s="50"/>
      <c r="Q12" s="50"/>
      <c r="R12" s="50"/>
    </row>
    <row r="13" spans="1:18" x14ac:dyDescent="0.25">
      <c r="A13" s="56"/>
      <c r="B13" s="57" t="s">
        <v>0</v>
      </c>
      <c r="C13" s="58"/>
      <c r="D13" s="50"/>
      <c r="E13" s="50"/>
      <c r="F13" s="56"/>
      <c r="G13" s="56"/>
      <c r="H13" s="57" t="s">
        <v>10</v>
      </c>
      <c r="I13" s="58"/>
      <c r="J13" s="59"/>
      <c r="K13" s="56"/>
      <c r="L13" s="56"/>
      <c r="M13" s="51">
        <f>Z60</f>
      </c>
      <c r="N13" s="50"/>
      <c r="O13" s="50"/>
      <c r="P13" s="56"/>
      <c r="Q13" s="56"/>
      <c r="R13" s="56"/>
    </row>
    <row r="14" spans="1:18" x14ac:dyDescent="0.25">
      <c r="A14" s="56"/>
      <c r="B14" s="33" t="s">
        <v>3</v>
      </c>
      <c r="C14" s="33" t="s">
        <v>19</v>
      </c>
      <c r="D14" s="60" t="s">
        <v>20</v>
      </c>
      <c r="E14" s="50"/>
      <c r="F14" s="56"/>
      <c r="G14" s="56"/>
      <c r="H14" s="61" t="s">
        <v>21</v>
      </c>
      <c r="I14" s="62" t="s">
        <v>22</v>
      </c>
      <c r="J14" s="63" t="s">
        <v>23</v>
      </c>
      <c r="K14" s="56"/>
      <c r="L14" s="56"/>
      <c r="M14" s="50"/>
      <c r="N14" s="50"/>
      <c r="O14" s="50"/>
      <c r="P14" s="56"/>
      <c r="Q14" s="56"/>
      <c r="R14" s="56"/>
    </row>
    <row r="15" spans="1:18" x14ac:dyDescent="0.25">
      <c r="A15" s="50"/>
      <c r="B15" s="11" t="s">
        <v>24</v>
      </c>
      <c r="C15" s="64">
        <f t="shared" ref="C15:C22" si="0">SUMIF(C40:C70,B15,F40:F70)</f>
        <v>543000000</v>
      </c>
      <c r="D15" s="65">
        <f t="shared" ref="D15:D17" si="1">C15/$C$23</f>
        <v>0.8858075041</v>
      </c>
      <c r="E15" s="50"/>
      <c r="F15" s="50"/>
      <c r="G15" s="50"/>
      <c r="H15" s="66" t="s">
        <v>25</v>
      </c>
      <c r="I15" s="67">
        <f t="shared" ref="I15:I24" si="2">J15/$J$33</f>
        <v>0.1390728477</v>
      </c>
      <c r="J15" s="64">
        <f t="shared" ref="J15:J25" si="3">SUMIF($M$40:M70,H15,$O$40:O70)</f>
        <v>21000000</v>
      </c>
      <c r="K15" s="50"/>
      <c r="L15" s="50"/>
      <c r="M15" s="50"/>
      <c r="N15" s="50"/>
      <c r="O15" s="50"/>
      <c r="P15" s="50"/>
      <c r="Q15" s="50"/>
      <c r="R15" s="50"/>
    </row>
    <row r="16" spans="1:18" x14ac:dyDescent="0.25">
      <c r="A16" s="50"/>
      <c r="B16" s="11" t="s">
        <v>26</v>
      </c>
      <c r="C16" s="64">
        <f t="shared" si="0"/>
        <v>30000000</v>
      </c>
      <c r="D16" s="65">
        <f t="shared" si="1"/>
        <v>0.04893964111</v>
      </c>
      <c r="E16" s="50"/>
      <c r="F16" s="50"/>
      <c r="G16" s="50"/>
      <c r="H16" s="66" t="s">
        <v>27</v>
      </c>
      <c r="I16" s="67">
        <f t="shared" si="2"/>
        <v>0.09933774834</v>
      </c>
      <c r="J16" s="64">
        <f t="shared" si="3"/>
        <v>15000000</v>
      </c>
      <c r="K16" s="50"/>
      <c r="L16" s="50"/>
      <c r="M16" s="50"/>
      <c r="N16" s="50"/>
      <c r="O16" s="50"/>
      <c r="P16" s="50"/>
      <c r="Q16" s="50"/>
      <c r="R16" s="50"/>
    </row>
    <row r="17" spans="1:18" x14ac:dyDescent="0.25">
      <c r="A17" s="50"/>
      <c r="B17" s="11" t="s">
        <v>28</v>
      </c>
      <c r="C17" s="64">
        <f t="shared" si="0"/>
        <v>40000000</v>
      </c>
      <c r="D17" s="65">
        <f t="shared" si="1"/>
        <v>0.06525285481</v>
      </c>
      <c r="E17" s="50"/>
      <c r="F17" s="50"/>
      <c r="G17" s="50"/>
      <c r="H17" s="66" t="s">
        <v>29</v>
      </c>
      <c r="I17" s="67">
        <f t="shared" si="2"/>
        <v>0.119205298</v>
      </c>
      <c r="J17" s="64">
        <f t="shared" si="3"/>
        <v>18000000</v>
      </c>
      <c r="K17" s="50"/>
      <c r="L17" s="50"/>
      <c r="M17" s="50"/>
      <c r="N17" s="50"/>
      <c r="O17" s="50"/>
      <c r="P17" s="50"/>
      <c r="Q17" s="50"/>
      <c r="R17" s="50"/>
    </row>
    <row r="18" spans="1:18" x14ac:dyDescent="0.25">
      <c r="A18" s="50"/>
      <c r="B18" s="11"/>
      <c r="C18" s="64">
        <f t="shared" si="0"/>
        <v>0</v>
      </c>
      <c r="D18" s="65"/>
      <c r="E18" s="50"/>
      <c r="F18" s="50"/>
      <c r="G18" s="50"/>
      <c r="H18" s="66" t="s">
        <v>30</v>
      </c>
      <c r="I18" s="67">
        <f t="shared" si="2"/>
        <v>0.1324503311</v>
      </c>
      <c r="J18" s="64">
        <f t="shared" si="3"/>
        <v>20000000</v>
      </c>
      <c r="K18" s="50"/>
      <c r="L18" s="50"/>
      <c r="M18" s="50"/>
      <c r="N18" s="50"/>
      <c r="O18" s="50"/>
      <c r="P18" s="50"/>
      <c r="Q18" s="50"/>
      <c r="R18" s="50"/>
    </row>
    <row r="19" spans="1:18" x14ac:dyDescent="0.25">
      <c r="A19" s="50"/>
      <c r="B19" s="11"/>
      <c r="C19" s="64">
        <f t="shared" si="0"/>
        <v>0</v>
      </c>
      <c r="D19" s="50"/>
      <c r="E19" s="50"/>
      <c r="F19" s="50"/>
      <c r="G19" s="50"/>
      <c r="H19" s="66" t="s">
        <v>31</v>
      </c>
      <c r="I19" s="67">
        <f t="shared" si="2"/>
        <v>0.1258278146</v>
      </c>
      <c r="J19" s="64">
        <f t="shared" si="3"/>
        <v>19000000</v>
      </c>
      <c r="K19" s="50"/>
      <c r="L19" s="50"/>
      <c r="M19" s="50"/>
      <c r="N19" s="50"/>
      <c r="O19" s="50"/>
      <c r="P19" s="50"/>
      <c r="Q19" s="50"/>
      <c r="R19" s="50"/>
    </row>
    <row r="20" spans="1:18" x14ac:dyDescent="0.25">
      <c r="A20" s="50"/>
      <c r="B20" s="11"/>
      <c r="C20" s="64">
        <f t="shared" si="0"/>
        <v>0</v>
      </c>
      <c r="D20" s="50"/>
      <c r="E20" s="50"/>
      <c r="F20" s="50"/>
      <c r="G20" s="50"/>
      <c r="H20" s="66" t="s">
        <v>32</v>
      </c>
      <c r="I20" s="67">
        <f t="shared" si="2"/>
        <v>0.07284768212</v>
      </c>
      <c r="J20" s="64">
        <f t="shared" si="3"/>
        <v>11000000</v>
      </c>
      <c r="K20" s="50"/>
      <c r="L20" s="50"/>
      <c r="M20" s="50"/>
      <c r="N20" s="50"/>
      <c r="O20" s="50"/>
      <c r="P20" s="50"/>
      <c r="Q20" s="50"/>
      <c r="R20" s="50"/>
    </row>
    <row r="21" spans="1:18" x14ac:dyDescent="0.25">
      <c r="A21" s="50"/>
      <c r="B21" s="11"/>
      <c r="C21" s="64">
        <f t="shared" si="0"/>
        <v>0</v>
      </c>
      <c r="D21" s="50"/>
      <c r="E21" s="50"/>
      <c r="F21" s="50"/>
      <c r="G21" s="50"/>
      <c r="H21" s="66" t="s">
        <v>33</v>
      </c>
      <c r="I21" s="67">
        <f t="shared" si="2"/>
        <v>0.06622516556</v>
      </c>
      <c r="J21" s="64">
        <f t="shared" si="3"/>
        <v>10000000</v>
      </c>
      <c r="K21" s="50"/>
      <c r="L21" s="50"/>
      <c r="M21" s="50"/>
      <c r="N21" s="50"/>
      <c r="O21" s="50"/>
      <c r="P21" s="50"/>
      <c r="Q21" s="50"/>
      <c r="R21" s="50"/>
    </row>
    <row r="22" spans="1:18" x14ac:dyDescent="0.25">
      <c r="A22" s="50"/>
      <c r="B22" s="11"/>
      <c r="C22" s="64">
        <f t="shared" si="0"/>
        <v>0</v>
      </c>
      <c r="D22" s="50"/>
      <c r="E22" s="50"/>
      <c r="F22" s="50"/>
      <c r="G22" s="50"/>
      <c r="H22" s="66" t="s">
        <v>34</v>
      </c>
      <c r="I22" s="67">
        <f t="shared" si="2"/>
        <v>0.09933774834</v>
      </c>
      <c r="J22" s="64">
        <f t="shared" si="3"/>
        <v>15000000</v>
      </c>
      <c r="K22" s="50"/>
      <c r="L22" s="50"/>
      <c r="M22" s="50"/>
      <c r="N22" s="50"/>
      <c r="O22" s="50"/>
      <c r="P22" s="50"/>
      <c r="Q22" s="50"/>
      <c r="R22" s="50"/>
    </row>
    <row r="23" spans="1:18" x14ac:dyDescent="0.25">
      <c r="A23" s="50"/>
      <c r="B23" s="68"/>
      <c r="C23" s="69">
        <f>SUM(C15:C22)</f>
        <v>613000000</v>
      </c>
      <c r="D23" s="50"/>
      <c r="E23" s="50"/>
      <c r="F23" s="50"/>
      <c r="G23" s="50"/>
      <c r="H23" s="66" t="s">
        <v>35</v>
      </c>
      <c r="I23" s="67">
        <f t="shared" si="2"/>
        <v>0.09933774834</v>
      </c>
      <c r="J23" s="64">
        <f t="shared" si="3"/>
        <v>15000000</v>
      </c>
      <c r="K23" s="50"/>
      <c r="L23" s="50"/>
      <c r="M23" s="50"/>
      <c r="N23" s="50"/>
      <c r="O23" s="50"/>
      <c r="P23" s="50"/>
      <c r="Q23" s="50"/>
      <c r="R23" s="50"/>
    </row>
    <row r="24" spans="1:18" x14ac:dyDescent="0.25">
      <c r="A24" s="50"/>
      <c r="B24" s="50"/>
      <c r="C24" s="50"/>
      <c r="D24" s="50"/>
      <c r="E24" s="50"/>
      <c r="F24" s="50"/>
      <c r="G24" s="50"/>
      <c r="H24" s="66" t="s">
        <v>36</v>
      </c>
      <c r="I24" s="67">
        <f t="shared" si="2"/>
        <v>0.04635761589</v>
      </c>
      <c r="J24" s="64">
        <f t="shared" si="3"/>
        <v>7000000</v>
      </c>
      <c r="K24" s="50"/>
      <c r="L24" s="50"/>
      <c r="M24" s="50"/>
      <c r="N24" s="50"/>
      <c r="O24" s="50"/>
      <c r="P24" s="50"/>
      <c r="Q24" s="50"/>
      <c r="R24" s="50"/>
    </row>
    <row r="25" spans="1:18" x14ac:dyDescent="0.25">
      <c r="A25" s="50"/>
      <c r="B25" s="51"/>
      <c r="C25" s="50"/>
      <c r="D25" s="50"/>
      <c r="E25" s="50"/>
      <c r="F25" s="50"/>
      <c r="G25" s="50"/>
      <c r="H25" s="66"/>
      <c r="I25" s="67">
        <f t="shared" ref="I25:I31" si="4">J25/J43</f>
        <v>0</v>
      </c>
      <c r="J25" s="64">
        <f t="shared" si="3"/>
        <v>0</v>
      </c>
      <c r="K25" s="50"/>
      <c r="L25" s="50"/>
      <c r="M25" s="50"/>
      <c r="N25" s="50"/>
      <c r="O25" s="50"/>
      <c r="P25" s="50"/>
      <c r="Q25" s="50"/>
      <c r="R25" s="50"/>
    </row>
    <row r="26" spans="1:18" x14ac:dyDescent="0.25">
      <c r="A26" s="50"/>
      <c r="B26" s="51"/>
      <c r="C26" s="50"/>
      <c r="D26" s="50"/>
      <c r="E26" s="50"/>
      <c r="F26" s="50"/>
      <c r="G26" s="50"/>
      <c r="H26" s="66"/>
      <c r="I26" s="67">
        <f t="shared" si="4"/>
        <v>0</v>
      </c>
      <c r="J26" s="70"/>
      <c r="K26" s="50"/>
      <c r="L26" s="50"/>
      <c r="M26" s="50"/>
      <c r="N26" s="50"/>
      <c r="O26" s="50"/>
      <c r="P26" s="50"/>
      <c r="Q26" s="50"/>
      <c r="R26" s="50"/>
    </row>
    <row r="27" spans="1:18" x14ac:dyDescent="0.25">
      <c r="A27" s="50"/>
      <c r="B27" s="51"/>
      <c r="C27" s="50"/>
      <c r="D27" s="50"/>
      <c r="E27" s="50"/>
      <c r="F27" s="50"/>
      <c r="G27" s="50"/>
      <c r="H27" s="66"/>
      <c r="I27" s="67">
        <f t="shared" si="4"/>
        <v>0</v>
      </c>
      <c r="J27" s="70"/>
      <c r="K27" s="50"/>
      <c r="L27" s="50"/>
      <c r="M27" s="50"/>
      <c r="N27" s="50"/>
      <c r="O27" s="50"/>
      <c r="P27" s="50"/>
      <c r="Q27" s="50"/>
      <c r="R27" s="50"/>
    </row>
    <row r="28" spans="1:18" x14ac:dyDescent="0.25">
      <c r="A28" s="50"/>
      <c r="B28" s="50"/>
      <c r="C28" s="50"/>
      <c r="D28" s="50"/>
      <c r="E28" s="50"/>
      <c r="F28" s="50"/>
      <c r="G28" s="50"/>
      <c r="H28" s="66"/>
      <c r="I28" s="67">
        <f t="shared" si="4"/>
        <v>0</v>
      </c>
      <c r="J28" s="70"/>
      <c r="K28" s="50"/>
      <c r="L28" s="50"/>
      <c r="M28" s="50"/>
      <c r="N28" s="50"/>
      <c r="O28" s="50"/>
      <c r="P28" s="50"/>
      <c r="Q28" s="50"/>
      <c r="R28" s="50"/>
    </row>
    <row r="29" spans="1:18" x14ac:dyDescent="0.25">
      <c r="A29" s="50"/>
      <c r="B29" s="50"/>
      <c r="C29" s="50"/>
      <c r="D29" s="50"/>
      <c r="E29" s="50"/>
      <c r="F29" s="50"/>
      <c r="G29" s="50"/>
      <c r="H29" s="66"/>
      <c r="I29" s="67">
        <f t="shared" si="4"/>
        <v>0</v>
      </c>
      <c r="J29" s="70"/>
      <c r="K29" s="50"/>
      <c r="L29" s="50"/>
      <c r="M29" s="50"/>
      <c r="N29" s="50"/>
      <c r="O29" s="50"/>
      <c r="P29" s="50"/>
      <c r="Q29" s="50"/>
      <c r="R29" s="50"/>
    </row>
    <row r="30" spans="1:18" x14ac:dyDescent="0.25">
      <c r="A30" s="50"/>
      <c r="B30" s="50"/>
      <c r="C30" s="50"/>
      <c r="D30" s="50"/>
      <c r="E30" s="50"/>
      <c r="F30" s="50"/>
      <c r="G30" s="50"/>
      <c r="H30" s="66"/>
      <c r="I30" s="67">
        <f t="shared" si="4"/>
        <v>0</v>
      </c>
      <c r="J30" s="70"/>
      <c r="K30" s="50"/>
      <c r="L30" s="50"/>
      <c r="M30" s="50"/>
      <c r="N30" s="50"/>
      <c r="O30" s="50"/>
      <c r="P30" s="50"/>
      <c r="Q30" s="50"/>
      <c r="R30" s="50"/>
    </row>
    <row r="31" spans="1:18" x14ac:dyDescent="0.25">
      <c r="A31" s="50"/>
      <c r="B31" s="50"/>
      <c r="C31" s="50"/>
      <c r="D31" s="50"/>
      <c r="E31" s="50"/>
      <c r="F31" s="50"/>
      <c r="G31" s="50"/>
      <c r="H31" s="66"/>
      <c r="I31" s="67">
        <f t="shared" si="4"/>
        <v>0</v>
      </c>
      <c r="J31" s="70"/>
      <c r="K31" s="50"/>
      <c r="L31" s="50"/>
      <c r="M31" s="50"/>
      <c r="N31" s="50"/>
      <c r="O31" s="50"/>
      <c r="P31" s="50"/>
      <c r="Q31" s="50"/>
      <c r="R31" s="50"/>
    </row>
    <row r="32" spans="1:18" x14ac:dyDescent="0.25">
      <c r="A32" s="50"/>
      <c r="B32" s="50"/>
      <c r="C32" s="50"/>
      <c r="D32" s="50"/>
      <c r="E32" s="50"/>
      <c r="F32" s="50"/>
      <c r="G32" s="50"/>
      <c r="H32" s="66"/>
      <c r="I32" s="67"/>
      <c r="J32" s="70"/>
      <c r="K32" s="50"/>
      <c r="L32" s="50"/>
      <c r="M32" s="50"/>
      <c r="N32" s="50"/>
      <c r="O32" s="50"/>
      <c r="P32" s="50"/>
      <c r="Q32" s="50"/>
      <c r="R32" s="50"/>
    </row>
    <row r="33" spans="1:18" x14ac:dyDescent="0.25">
      <c r="A33" s="50"/>
      <c r="B33" s="50"/>
      <c r="C33" s="50"/>
      <c r="D33" s="50"/>
      <c r="E33" s="50"/>
      <c r="F33" s="50"/>
      <c r="G33" s="50"/>
      <c r="H33" s="71" t="s">
        <v>37</v>
      </c>
      <c r="I33" s="72">
        <f t="shared" ref="I33:J33" si="5">SUM(I15:I32)</f>
        <v>1</v>
      </c>
      <c r="J33" s="69">
        <f t="shared" si="5"/>
        <v>151000000</v>
      </c>
      <c r="K33" s="50"/>
      <c r="L33" s="50"/>
      <c r="M33" s="50"/>
      <c r="N33" s="50"/>
      <c r="O33" s="50"/>
      <c r="P33" s="50"/>
      <c r="Q33" s="50"/>
      <c r="R33" s="50"/>
    </row>
    <row r="34" spans="1:18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</row>
    <row r="35" spans="1:18" x14ac:dyDescent="0.25">
      <c r="A35" s="50"/>
      <c r="B35" s="51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x14ac:dyDescent="0.25">
      <c r="A36" s="50"/>
      <c r="B36" s="51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x14ac:dyDescent="0.25">
      <c r="A37" s="50"/>
      <c r="B37" s="51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x14ac:dyDescent="0.25">
      <c r="A38" s="50"/>
      <c r="B38" s="51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x14ac:dyDescent="0.25">
      <c r="A39" s="73" t="s">
        <v>1</v>
      </c>
      <c r="B39" s="73" t="s">
        <v>38</v>
      </c>
      <c r="C39" s="73" t="s">
        <v>3</v>
      </c>
      <c r="D39" s="73" t="s">
        <v>5</v>
      </c>
      <c r="E39" s="74"/>
      <c r="F39" s="75" t="s">
        <v>9</v>
      </c>
      <c r="G39" s="60" t="s">
        <v>39</v>
      </c>
      <c r="H39" s="50"/>
      <c r="I39" s="50"/>
      <c r="J39" s="76" t="s">
        <v>11</v>
      </c>
      <c r="K39" s="76" t="s">
        <v>4</v>
      </c>
      <c r="L39" s="76" t="s">
        <v>12</v>
      </c>
      <c r="M39" s="76" t="s">
        <v>13</v>
      </c>
      <c r="N39" s="76" t="s">
        <v>14</v>
      </c>
      <c r="O39" s="77" t="s">
        <v>40</v>
      </c>
      <c r="P39" s="50"/>
      <c r="Q39" s="50"/>
      <c r="R39" s="50"/>
    </row>
    <row r="40" spans="1:18" x14ac:dyDescent="0.25">
      <c r="A40" s="78"/>
      <c r="B40" s="79"/>
      <c r="C40" s="11"/>
      <c r="D40" s="80"/>
      <c r="E40" s="81"/>
      <c r="F40" s="82"/>
      <c r="G40" s="50"/>
      <c r="H40" s="50"/>
      <c r="I40" s="50"/>
      <c r="J40" s="37"/>
      <c r="K40" s="83"/>
      <c r="L40" s="84"/>
      <c r="M40" s="66"/>
      <c r="N40" s="85"/>
      <c r="O40" s="86"/>
      <c r="P40" s="50"/>
      <c r="Q40" s="50"/>
      <c r="R40" s="50"/>
    </row>
    <row r="41" spans="1:18" x14ac:dyDescent="0.25">
      <c r="A41" s="78"/>
      <c r="B41" s="83"/>
      <c r="C41" s="11"/>
      <c r="D41" s="80"/>
      <c r="E41" s="81"/>
      <c r="F41" s="82"/>
      <c r="G41" s="50"/>
      <c r="H41" s="50"/>
      <c r="I41" s="50"/>
      <c r="J41" s="37"/>
      <c r="K41" s="83"/>
      <c r="L41" s="84"/>
      <c r="M41" s="66"/>
      <c r="N41" s="85"/>
      <c r="O41" s="86"/>
      <c r="P41" s="50"/>
      <c r="Q41" s="50"/>
      <c r="R41" s="50"/>
    </row>
    <row r="42" spans="1:18" x14ac:dyDescent="0.25">
      <c r="A42" s="78"/>
      <c r="B42" s="83"/>
      <c r="C42" s="11"/>
      <c r="D42" s="80"/>
      <c r="E42" s="81"/>
      <c r="F42" s="82"/>
      <c r="G42" s="50"/>
      <c r="H42" s="50"/>
      <c r="I42" s="50"/>
      <c r="J42" s="37"/>
      <c r="K42" s="83"/>
      <c r="L42" s="84"/>
      <c r="M42" s="66"/>
      <c r="N42" s="85"/>
      <c r="O42" s="86"/>
      <c r="P42" s="50"/>
      <c r="Q42" s="50"/>
      <c r="R42" s="50"/>
    </row>
    <row r="43" spans="1:18" x14ac:dyDescent="0.25">
      <c r="A43" s="78"/>
      <c r="B43" s="79"/>
      <c r="C43" s="11"/>
      <c r="D43" s="80"/>
      <c r="E43" s="81"/>
      <c r="F43" s="82"/>
      <c r="G43" s="50"/>
      <c r="H43" s="50"/>
      <c r="I43" s="50"/>
      <c r="J43" s="37"/>
      <c r="K43" s="83"/>
      <c r="L43" s="84"/>
      <c r="M43" s="66"/>
      <c r="N43" s="85"/>
      <c r="O43" s="86"/>
      <c r="P43" s="50"/>
      <c r="Q43" s="50"/>
      <c r="R43" s="50"/>
    </row>
    <row r="44" spans="1:18" x14ac:dyDescent="0.25">
      <c r="A44" s="78"/>
      <c r="B44" s="83"/>
      <c r="C44" s="11"/>
      <c r="D44" s="80"/>
      <c r="E44" s="81"/>
      <c r="F44" s="82"/>
      <c r="G44" s="50"/>
      <c r="H44" s="50"/>
      <c r="I44" s="50"/>
      <c r="J44" s="37"/>
      <c r="K44" s="83"/>
      <c r="L44" s="84"/>
      <c r="M44" s="66"/>
      <c r="N44" s="85"/>
      <c r="O44" s="86"/>
      <c r="P44" s="50"/>
      <c r="Q44" s="50"/>
      <c r="R44" s="50"/>
    </row>
    <row r="45" spans="1:18" x14ac:dyDescent="0.25">
      <c r="A45" s="78"/>
      <c r="B45" s="79"/>
      <c r="C45" s="11"/>
      <c r="D45" s="80"/>
      <c r="E45" s="81"/>
      <c r="F45" s="82"/>
      <c r="G45" s="50"/>
      <c r="H45" s="50"/>
      <c r="I45" s="50"/>
      <c r="J45" s="37"/>
      <c r="K45" s="83"/>
      <c r="L45" s="84"/>
      <c r="M45" s="66"/>
      <c r="N45" s="85"/>
      <c r="O45" s="86"/>
      <c r="P45" s="50"/>
      <c r="Q45" s="50"/>
      <c r="R45" s="50"/>
    </row>
    <row r="46" spans="1:18" x14ac:dyDescent="0.25">
      <c r="A46" s="78"/>
      <c r="B46" s="79"/>
      <c r="C46" s="11"/>
      <c r="D46" s="80"/>
      <c r="E46" s="81"/>
      <c r="F46" s="87"/>
      <c r="G46" s="50"/>
      <c r="H46" s="50"/>
      <c r="I46" s="50"/>
      <c r="J46" s="37"/>
      <c r="K46" s="83"/>
      <c r="L46" s="84"/>
      <c r="M46" s="66"/>
      <c r="N46" s="85"/>
      <c r="O46" s="86"/>
      <c r="P46" s="50"/>
      <c r="Q46" s="50"/>
      <c r="R46" s="50"/>
    </row>
    <row r="47" spans="1:18" x14ac:dyDescent="0.25">
      <c r="A47" s="78"/>
      <c r="B47" s="83"/>
      <c r="C47" s="11"/>
      <c r="D47" s="80"/>
      <c r="E47" s="88"/>
      <c r="F47" s="82"/>
      <c r="G47" s="50"/>
      <c r="H47" s="50"/>
      <c r="I47" s="50"/>
      <c r="J47" s="37"/>
      <c r="K47" s="83"/>
      <c r="L47" s="84"/>
      <c r="M47" s="66"/>
      <c r="N47" s="85"/>
      <c r="O47" s="86"/>
      <c r="P47" s="50"/>
      <c r="Q47" s="50"/>
      <c r="R47" s="50"/>
    </row>
    <row r="48" spans="1:18" x14ac:dyDescent="0.25">
      <c r="A48" s="78"/>
      <c r="B48" s="83"/>
      <c r="C48" s="11"/>
      <c r="D48" s="89"/>
      <c r="E48" s="88"/>
      <c r="F48" s="87"/>
      <c r="G48" s="50"/>
      <c r="H48" s="50"/>
      <c r="I48" s="50"/>
      <c r="J48" s="37"/>
      <c r="K48" s="83"/>
      <c r="L48" s="84"/>
      <c r="M48" s="66"/>
      <c r="N48" s="85"/>
      <c r="O48" s="86"/>
      <c r="P48" s="50"/>
      <c r="Q48" s="50"/>
      <c r="R48" s="50"/>
    </row>
    <row r="49" spans="1:18" x14ac:dyDescent="0.25">
      <c r="A49" s="78"/>
      <c r="B49" s="83"/>
      <c r="C49" s="11"/>
      <c r="D49" s="89"/>
      <c r="E49" s="88"/>
      <c r="F49" s="87"/>
      <c r="G49" s="50"/>
      <c r="H49" s="50"/>
      <c r="I49" s="50"/>
      <c r="J49" s="37"/>
      <c r="K49" s="83"/>
      <c r="L49" s="84"/>
      <c r="M49" s="66"/>
      <c r="N49" s="85"/>
      <c r="O49" s="86"/>
      <c r="P49" s="50"/>
      <c r="Q49" s="50"/>
      <c r="R49" s="50"/>
    </row>
    <row r="50" spans="1:18" x14ac:dyDescent="0.25">
      <c r="A50" s="90"/>
      <c r="B50" s="83"/>
      <c r="C50" s="11"/>
      <c r="D50" s="89"/>
      <c r="E50" s="88"/>
      <c r="F50" s="91"/>
      <c r="G50" s="50"/>
      <c r="H50" s="50"/>
      <c r="I50" s="50"/>
      <c r="J50" s="37"/>
      <c r="K50" s="83"/>
      <c r="L50" s="84"/>
      <c r="M50" s="66"/>
      <c r="N50" s="85"/>
      <c r="O50" s="86"/>
      <c r="P50" s="50"/>
      <c r="Q50" s="50"/>
      <c r="R50" s="50"/>
    </row>
    <row r="51" spans="1:18" x14ac:dyDescent="0.25">
      <c r="A51" s="90"/>
      <c r="B51" s="83"/>
      <c r="C51" s="11"/>
      <c r="D51" s="89"/>
      <c r="E51" s="88"/>
      <c r="F51" s="91"/>
      <c r="G51" s="50"/>
      <c r="H51" s="50"/>
      <c r="I51" s="50"/>
      <c r="J51" s="37"/>
      <c r="K51" s="83"/>
      <c r="L51" s="84"/>
      <c r="M51" s="66"/>
      <c r="N51" s="85"/>
      <c r="O51" s="86"/>
      <c r="P51" s="50"/>
      <c r="Q51" s="50"/>
      <c r="R51" s="50"/>
    </row>
    <row r="52" spans="1:18" x14ac:dyDescent="0.25">
      <c r="A52" s="90"/>
      <c r="B52" s="83"/>
      <c r="C52" s="11"/>
      <c r="D52" s="89"/>
      <c r="E52" s="88"/>
      <c r="F52" s="91"/>
      <c r="G52" s="50"/>
      <c r="H52" s="50"/>
      <c r="I52" s="50"/>
      <c r="J52" s="37"/>
      <c r="K52" s="83"/>
      <c r="L52" s="84"/>
      <c r="M52" s="66"/>
      <c r="N52" s="85"/>
      <c r="O52" s="86"/>
      <c r="P52" s="50"/>
      <c r="Q52" s="50"/>
      <c r="R52" s="50"/>
    </row>
    <row r="53" spans="1:18" x14ac:dyDescent="0.25">
      <c r="A53" s="90"/>
      <c r="B53" s="83"/>
      <c r="C53" s="11"/>
      <c r="D53" s="89"/>
      <c r="E53" s="88"/>
      <c r="F53" s="91"/>
      <c r="G53" s="50"/>
      <c r="H53" s="50"/>
      <c r="I53" s="50"/>
      <c r="J53" s="37"/>
      <c r="K53" s="83"/>
      <c r="L53" s="84"/>
      <c r="M53" s="66"/>
      <c r="N53" s="85"/>
      <c r="O53" s="86"/>
      <c r="P53" s="50"/>
      <c r="Q53" s="50"/>
      <c r="R53" s="50"/>
    </row>
    <row r="54" spans="1:18" x14ac:dyDescent="0.25">
      <c r="A54" s="90"/>
      <c r="B54" s="83"/>
      <c r="C54" s="11"/>
      <c r="D54" s="92"/>
      <c r="E54" s="88"/>
      <c r="F54" s="91"/>
      <c r="G54" s="50"/>
      <c r="H54" s="50"/>
      <c r="I54" s="50"/>
      <c r="J54" s="37"/>
      <c r="K54" s="83"/>
      <c r="L54" s="84"/>
      <c r="M54" s="66"/>
      <c r="N54" s="85"/>
      <c r="O54" s="86"/>
      <c r="P54" s="50"/>
      <c r="Q54" s="50"/>
      <c r="R54" s="50"/>
    </row>
    <row r="55" spans="1:18" x14ac:dyDescent="0.25">
      <c r="A55" s="90"/>
      <c r="B55" s="83"/>
      <c r="C55" s="11"/>
      <c r="D55" s="93"/>
      <c r="E55" s="88"/>
      <c r="F55" s="91"/>
      <c r="G55" s="50"/>
      <c r="H55" s="50"/>
      <c r="I55" s="50"/>
      <c r="J55" s="37"/>
      <c r="K55" s="83"/>
      <c r="L55" s="84"/>
      <c r="M55" s="66"/>
      <c r="N55" s="85"/>
      <c r="O55" s="86"/>
      <c r="P55" s="50"/>
      <c r="Q55" s="50"/>
      <c r="R55" s="50"/>
    </row>
    <row r="56" spans="1:18" x14ac:dyDescent="0.25">
      <c r="A56" s="50"/>
      <c r="B56" s="51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x14ac:dyDescent="0.25">
      <c r="A57" s="50"/>
      <c r="B57" s="51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x14ac:dyDescent="0.25">
      <c r="A58" s="50"/>
      <c r="B58" s="51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x14ac:dyDescent="0.25">
      <c r="A59" s="50"/>
      <c r="B59" s="51"/>
      <c r="C59" s="50"/>
      <c r="D59" s="50"/>
      <c r="E59" s="50"/>
      <c r="F59" s="94"/>
      <c r="G59" s="50"/>
      <c r="H59" s="50"/>
      <c r="I59" s="50"/>
      <c r="J59" s="50"/>
      <c r="K59" s="50"/>
      <c r="L59" s="50"/>
      <c r="M59" s="50"/>
      <c r="N59" s="50"/>
      <c r="O59" s="95"/>
      <c r="P59" s="50"/>
      <c r="Q59" s="50"/>
      <c r="R59" s="50"/>
    </row>
    <row r="60" spans="1:18" x14ac:dyDescent="0.25">
      <c r="A60" s="50"/>
      <c r="B60" s="51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</row>
    <row r="61" spans="1:18" x14ac:dyDescent="0.25">
      <c r="A61" s="50"/>
      <c r="B61" s="51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</row>
    <row r="62" spans="1:18" x14ac:dyDescent="0.25">
      <c r="A62" s="50"/>
      <c r="B62" s="51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</row>
    <row r="63" spans="1:18" x14ac:dyDescent="0.25">
      <c r="A63" s="50"/>
      <c r="B63" s="51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</row>
    <row r="64" spans="1:18" x14ac:dyDescent="0.25">
      <c r="A64" s="50"/>
      <c r="B64" s="51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</row>
    <row r="65" spans="1:18" x14ac:dyDescent="0.25">
      <c r="A65" s="50"/>
      <c r="B65" s="51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</row>
    <row r="66" spans="1:18" x14ac:dyDescent="0.25">
      <c r="A66" s="50"/>
      <c r="B66" s="51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</row>
    <row r="67" spans="1:18" x14ac:dyDescent="0.25">
      <c r="A67" s="50"/>
      <c r="B67" s="51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x14ac:dyDescent="0.25">
      <c r="A68" s="50"/>
      <c r="B68" s="51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x14ac:dyDescent="0.25">
      <c r="A69" s="50"/>
      <c r="B69" s="51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x14ac:dyDescent="0.25">
      <c r="A70" s="50"/>
      <c r="B70" s="51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</row>
    <row r="71" spans="1:18" x14ac:dyDescent="0.25">
      <c r="A71" s="50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</row>
    <row r="72" spans="1:18" x14ac:dyDescent="0.25">
      <c r="A72" s="50"/>
      <c r="B72" s="51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</row>
    <row r="73" spans="1:18" x14ac:dyDescent="0.25">
      <c r="A73" s="50"/>
      <c r="B73" s="51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</row>
    <row r="74" spans="1:18" x14ac:dyDescent="0.25">
      <c r="A74" s="50"/>
      <c r="B74" s="51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</row>
    <row r="75" spans="1:18" x14ac:dyDescent="0.25">
      <c r="A75" s="50"/>
      <c r="B75" s="51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25">
      <c r="A76" s="50"/>
      <c r="B76" s="51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x14ac:dyDescent="0.25">
      <c r="A77" s="50"/>
      <c r="B77" s="51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x14ac:dyDescent="0.25">
      <c r="A78" s="50"/>
      <c r="B78" s="51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</row>
    <row r="79" spans="1:18" x14ac:dyDescent="0.25">
      <c r="A79" s="50"/>
      <c r="B79" s="51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</row>
    <row r="80" spans="1:18" x14ac:dyDescent="0.25">
      <c r="A80" s="50"/>
      <c r="B80" s="51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1:18" x14ac:dyDescent="0.25">
      <c r="A81" s="50"/>
      <c r="B81" s="51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 x14ac:dyDescent="0.25">
      <c r="A82" s="50"/>
      <c r="B82" s="51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x14ac:dyDescent="0.25">
      <c r="A83" s="50"/>
      <c r="B83" s="51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</row>
    <row r="84" spans="1:18" x14ac:dyDescent="0.25">
      <c r="A84" s="50"/>
      <c r="B84" s="51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x14ac:dyDescent="0.25">
      <c r="A85" s="50"/>
      <c r="B85" s="51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x14ac:dyDescent="0.25">
      <c r="A86" s="50"/>
      <c r="B86" s="51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</row>
    <row r="87" spans="1:18" x14ac:dyDescent="0.25">
      <c r="A87" s="50"/>
      <c r="B87" s="51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 x14ac:dyDescent="0.25">
      <c r="A88" s="50"/>
      <c r="B88" s="51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 x14ac:dyDescent="0.25">
      <c r="A89" s="50"/>
      <c r="B89" s="51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</row>
    <row r="90" spans="1:18" x14ac:dyDescent="0.25">
      <c r="A90" s="50"/>
      <c r="B90" s="51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25">
      <c r="A91" s="50"/>
      <c r="B91" s="51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25">
      <c r="A92" s="50"/>
      <c r="B92" s="51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x14ac:dyDescent="0.25">
      <c r="A93" s="50"/>
      <c r="B93" s="51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x14ac:dyDescent="0.25">
      <c r="A94" s="50"/>
      <c r="B94" s="51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</row>
    <row r="95" spans="1:18" x14ac:dyDescent="0.25">
      <c r="A95" s="50"/>
      <c r="B95" s="51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</row>
    <row r="96" spans="1:18" x14ac:dyDescent="0.25">
      <c r="A96" s="50"/>
      <c r="B96" s="51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1:18" x14ac:dyDescent="0.25">
      <c r="A97" s="50"/>
      <c r="B97" s="51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</row>
    <row r="98" spans="1:18" x14ac:dyDescent="0.25">
      <c r="A98" s="50"/>
      <c r="B98" s="51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</row>
    <row r="99" spans="1:18" x14ac:dyDescent="0.25">
      <c r="A99" s="50"/>
      <c r="B99" s="51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</row>
    <row r="100" spans="1:18" x14ac:dyDescent="0.25">
      <c r="A100" s="50"/>
      <c r="B100" s="51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1:18" x14ac:dyDescent="0.25">
      <c r="A101" s="50"/>
      <c r="B101" s="51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</row>
    <row r="102" spans="1:18" x14ac:dyDescent="0.25">
      <c r="A102" s="50"/>
      <c r="B102" s="51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</row>
    <row r="103" spans="1:18" x14ac:dyDescent="0.25">
      <c r="A103" s="50"/>
      <c r="B103" s="51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</row>
    <row r="104" spans="1:18" x14ac:dyDescent="0.25">
      <c r="A104" s="50"/>
      <c r="B104" s="51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x14ac:dyDescent="0.25">
      <c r="A105" s="50"/>
      <c r="B105" s="51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x14ac:dyDescent="0.25">
      <c r="A106" s="50"/>
      <c r="B106" s="51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x14ac:dyDescent="0.25">
      <c r="A107" s="50"/>
      <c r="B107" s="51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</row>
    <row r="108" spans="1:18" x14ac:dyDescent="0.25">
      <c r="A108" s="50"/>
      <c r="B108" s="51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1:18" x14ac:dyDescent="0.25">
      <c r="A109" s="50"/>
      <c r="B109" s="51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</row>
    <row r="110" spans="1:18" x14ac:dyDescent="0.25">
      <c r="A110" s="50"/>
      <c r="B110" s="51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1:18" x14ac:dyDescent="0.25">
      <c r="A111" s="50"/>
      <c r="B111" s="51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</row>
    <row r="112" spans="1:18" x14ac:dyDescent="0.25">
      <c r="A112" s="50"/>
      <c r="B112" s="51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1:18" x14ac:dyDescent="0.25">
      <c r="A113" s="50"/>
      <c r="B113" s="51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</row>
    <row r="114" spans="1:18" x14ac:dyDescent="0.25">
      <c r="A114" s="50"/>
      <c r="B114" s="51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</row>
    <row r="115" spans="1:18" x14ac:dyDescent="0.25">
      <c r="A115" s="50"/>
      <c r="B115" s="51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</row>
    <row r="116" spans="1:18" x14ac:dyDescent="0.25">
      <c r="A116" s="50"/>
      <c r="B116" s="51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1:18" x14ac:dyDescent="0.25">
      <c r="A117" s="50"/>
      <c r="B117" s="51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</row>
    <row r="118" spans="1:18" x14ac:dyDescent="0.25">
      <c r="A118" s="50"/>
      <c r="B118" s="51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1:18" x14ac:dyDescent="0.25">
      <c r="A119" s="50"/>
      <c r="B119" s="51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</row>
    <row r="120" spans="1:18" x14ac:dyDescent="0.25">
      <c r="A120" s="50"/>
      <c r="B120" s="51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1:18" x14ac:dyDescent="0.25">
      <c r="A121" s="50"/>
      <c r="B121" s="51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</row>
    <row r="122" spans="1:18" x14ac:dyDescent="0.25">
      <c r="A122" s="50"/>
      <c r="B122" s="51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1:18" x14ac:dyDescent="0.25">
      <c r="A123" s="50"/>
      <c r="B123" s="51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</row>
    <row r="124" spans="1:18" x14ac:dyDescent="0.25">
      <c r="A124" s="50"/>
      <c r="B124" s="51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1:18" x14ac:dyDescent="0.25">
      <c r="A125" s="50"/>
      <c r="B125" s="51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</row>
    <row r="126" spans="1:18" x14ac:dyDescent="0.25">
      <c r="A126" s="50"/>
      <c r="B126" s="51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</row>
    <row r="127" spans="1:18" x14ac:dyDescent="0.25">
      <c r="A127" s="50"/>
      <c r="B127" s="51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</row>
    <row r="128" spans="1:18" x14ac:dyDescent="0.25">
      <c r="A128" s="50"/>
      <c r="B128" s="51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1:18" x14ac:dyDescent="0.25">
      <c r="A129" s="50"/>
      <c r="B129" s="51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</row>
    <row r="130" spans="1:18" x14ac:dyDescent="0.25">
      <c r="A130" s="50"/>
      <c r="B130" s="51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1:18" x14ac:dyDescent="0.25">
      <c r="A131" s="50"/>
      <c r="B131" s="51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</row>
    <row r="132" spans="1:18" x14ac:dyDescent="0.25">
      <c r="A132" s="50"/>
      <c r="B132" s="51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1:18" x14ac:dyDescent="0.25">
      <c r="A133" s="50"/>
      <c r="B133" s="51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</row>
    <row r="134" spans="1:18" x14ac:dyDescent="0.25">
      <c r="A134" s="50"/>
      <c r="B134" s="51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1:18" x14ac:dyDescent="0.25">
      <c r="A135" s="50"/>
      <c r="B135" s="51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</row>
    <row r="136" spans="1:18" x14ac:dyDescent="0.25">
      <c r="A136" s="50"/>
      <c r="B136" s="51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1:18" x14ac:dyDescent="0.25">
      <c r="A137" s="50"/>
      <c r="B137" s="51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</row>
    <row r="138" spans="1:18" x14ac:dyDescent="0.25">
      <c r="A138" s="50"/>
      <c r="B138" s="51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</row>
    <row r="139" spans="1:18" x14ac:dyDescent="0.25">
      <c r="A139" s="50"/>
      <c r="B139" s="51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</row>
    <row r="140" spans="1:18" x14ac:dyDescent="0.25">
      <c r="A140" s="50"/>
      <c r="B140" s="51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1:18" x14ac:dyDescent="0.25">
      <c r="A141" s="50"/>
      <c r="B141" s="51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</row>
    <row r="142" spans="1:18" x14ac:dyDescent="0.25">
      <c r="A142" s="50"/>
      <c r="B142" s="51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1:18" x14ac:dyDescent="0.25">
      <c r="A143" s="50"/>
      <c r="B143" s="51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</row>
    <row r="144" spans="1:18" x14ac:dyDescent="0.25">
      <c r="A144" s="50"/>
      <c r="B144" s="51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1:18" x14ac:dyDescent="0.25">
      <c r="A145" s="50"/>
      <c r="B145" s="51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</row>
    <row r="146" spans="1:18" x14ac:dyDescent="0.25">
      <c r="A146" s="50"/>
      <c r="B146" s="51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1:18" x14ac:dyDescent="0.25">
      <c r="A147" s="50"/>
      <c r="B147" s="51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</row>
    <row r="148" spans="1:18" x14ac:dyDescent="0.25">
      <c r="A148" s="50"/>
      <c r="B148" s="51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1:18" x14ac:dyDescent="0.25">
      <c r="A149" s="50"/>
      <c r="B149" s="51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</row>
    <row r="150" spans="1:18" x14ac:dyDescent="0.25">
      <c r="A150" s="50"/>
      <c r="B150" s="51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</row>
    <row r="151" spans="1:18" x14ac:dyDescent="0.25">
      <c r="A151" s="50"/>
      <c r="B151" s="51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</row>
    <row r="152" spans="1:18" x14ac:dyDescent="0.25">
      <c r="A152" s="50"/>
      <c r="B152" s="51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1:18" x14ac:dyDescent="0.25">
      <c r="A153" s="50"/>
      <c r="B153" s="51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</row>
    <row r="154" spans="1:18" x14ac:dyDescent="0.25">
      <c r="A154" s="50"/>
      <c r="B154" s="51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1:18" x14ac:dyDescent="0.25">
      <c r="A155" s="50"/>
      <c r="B155" s="51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</row>
    <row r="156" spans="1:18" x14ac:dyDescent="0.25">
      <c r="A156" s="50"/>
      <c r="B156" s="51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1:18" x14ac:dyDescent="0.25">
      <c r="A157" s="50"/>
      <c r="B157" s="51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</row>
    <row r="158" spans="1:18" x14ac:dyDescent="0.25">
      <c r="A158" s="50"/>
      <c r="B158" s="51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1:18" x14ac:dyDescent="0.25">
      <c r="A159" s="50"/>
      <c r="B159" s="51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</row>
    <row r="160" spans="1:18" x14ac:dyDescent="0.25">
      <c r="A160" s="50"/>
      <c r="B160" s="51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1:18" x14ac:dyDescent="0.25">
      <c r="A161" s="50"/>
      <c r="B161" s="51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</row>
    <row r="162" spans="1:18" x14ac:dyDescent="0.25">
      <c r="A162" s="50"/>
      <c r="B162" s="51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</row>
    <row r="163" spans="1:18" x14ac:dyDescent="0.25">
      <c r="A163" s="50"/>
      <c r="B163" s="51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</row>
    <row r="164" spans="1:18" x14ac:dyDescent="0.25">
      <c r="A164" s="50"/>
      <c r="B164" s="51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1:18" x14ac:dyDescent="0.25">
      <c r="A165" s="50"/>
      <c r="B165" s="51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</row>
    <row r="166" spans="1:18" x14ac:dyDescent="0.25">
      <c r="A166" s="50"/>
      <c r="B166" s="51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1:18" x14ac:dyDescent="0.25">
      <c r="A167" s="50"/>
      <c r="B167" s="51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</row>
    <row r="168" spans="1:18" x14ac:dyDescent="0.25">
      <c r="A168" s="50"/>
      <c r="B168" s="51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1:18" x14ac:dyDescent="0.25">
      <c r="A169" s="50"/>
      <c r="B169" s="51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</row>
    <row r="170" spans="1:18" x14ac:dyDescent="0.25">
      <c r="A170" s="50"/>
      <c r="B170" s="51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1:18" x14ac:dyDescent="0.25">
      <c r="A171" s="50"/>
      <c r="B171" s="51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</row>
    <row r="172" spans="1:18" x14ac:dyDescent="0.25">
      <c r="A172" s="50"/>
      <c r="B172" s="51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1:18" x14ac:dyDescent="0.25">
      <c r="A173" s="50"/>
      <c r="B173" s="51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</row>
    <row r="174" spans="1:18" x14ac:dyDescent="0.25">
      <c r="A174" s="50"/>
      <c r="B174" s="51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</row>
    <row r="175" spans="1:18" x14ac:dyDescent="0.25">
      <c r="A175" s="50"/>
      <c r="B175" s="51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</row>
    <row r="176" spans="1:18" x14ac:dyDescent="0.25">
      <c r="A176" s="50"/>
      <c r="B176" s="51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1:18" x14ac:dyDescent="0.25">
      <c r="A177" s="50"/>
      <c r="B177" s="51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</row>
    <row r="178" spans="1:18" x14ac:dyDescent="0.25">
      <c r="A178" s="50"/>
      <c r="B178" s="51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1:18" x14ac:dyDescent="0.25">
      <c r="A179" s="50"/>
      <c r="B179" s="51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</row>
    <row r="180" spans="1:18" x14ac:dyDescent="0.25">
      <c r="A180" s="50"/>
      <c r="B180" s="51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1:18" x14ac:dyDescent="0.25">
      <c r="A181" s="50"/>
      <c r="B181" s="51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</row>
    <row r="182" spans="1:18" x14ac:dyDescent="0.25">
      <c r="A182" s="50"/>
      <c r="B182" s="51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1:18" x14ac:dyDescent="0.25">
      <c r="A183" s="50"/>
      <c r="B183" s="51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</row>
    <row r="184" spans="1:18" x14ac:dyDescent="0.25">
      <c r="A184" s="50"/>
      <c r="B184" s="51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1:18" x14ac:dyDescent="0.25">
      <c r="A185" s="50"/>
      <c r="B185" s="51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</row>
    <row r="186" spans="1:18" x14ac:dyDescent="0.25">
      <c r="A186" s="50"/>
      <c r="B186" s="51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1:18" x14ac:dyDescent="0.25">
      <c r="A187" s="50"/>
      <c r="B187" s="51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</row>
    <row r="188" spans="1:18" x14ac:dyDescent="0.25">
      <c r="A188" s="50"/>
      <c r="B188" s="51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1:18" x14ac:dyDescent="0.25">
      <c r="A189" s="50"/>
      <c r="B189" s="51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</row>
    <row r="190" spans="1:18" x14ac:dyDescent="0.25">
      <c r="A190" s="50"/>
      <c r="B190" s="51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</row>
    <row r="191" spans="1:18" x14ac:dyDescent="0.25">
      <c r="A191" s="50"/>
      <c r="B191" s="51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</row>
    <row r="192" spans="1:18" x14ac:dyDescent="0.25">
      <c r="A192" s="50"/>
      <c r="B192" s="51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1:18" x14ac:dyDescent="0.25">
      <c r="A193" s="50"/>
      <c r="B193" s="51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</row>
    <row r="194" spans="1:18" x14ac:dyDescent="0.25">
      <c r="A194" s="50"/>
      <c r="B194" s="51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</row>
    <row r="195" spans="1:18" x14ac:dyDescent="0.25">
      <c r="A195" s="50"/>
      <c r="B195" s="51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</row>
    <row r="196" spans="1:18" x14ac:dyDescent="0.25">
      <c r="A196" s="50"/>
      <c r="B196" s="51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1:18" x14ac:dyDescent="0.25">
      <c r="A197" s="50"/>
      <c r="B197" s="51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</row>
    <row r="198" spans="1:18" x14ac:dyDescent="0.25">
      <c r="A198" s="50"/>
      <c r="B198" s="51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1:18" x14ac:dyDescent="0.25">
      <c r="A199" s="50"/>
      <c r="B199" s="51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</row>
    <row r="200" spans="1:18" x14ac:dyDescent="0.25">
      <c r="A200" s="50"/>
      <c r="B200" s="51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1:18" x14ac:dyDescent="0.25">
      <c r="A201" s="50"/>
      <c r="B201" s="51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</row>
    <row r="202" spans="1:18" x14ac:dyDescent="0.25">
      <c r="A202" s="50"/>
      <c r="B202" s="51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1:18" x14ac:dyDescent="0.25">
      <c r="A203" s="50"/>
      <c r="B203" s="51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</row>
    <row r="204" spans="1:18" x14ac:dyDescent="0.25">
      <c r="A204" s="50"/>
      <c r="B204" s="51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1:18" x14ac:dyDescent="0.25">
      <c r="A205" s="50"/>
      <c r="B205" s="51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</row>
    <row r="206" spans="1:18" x14ac:dyDescent="0.25">
      <c r="A206" s="50"/>
      <c r="B206" s="51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</row>
    <row r="207" spans="1:18" x14ac:dyDescent="0.25">
      <c r="A207" s="50"/>
      <c r="B207" s="51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</row>
    <row r="208" spans="1:18" x14ac:dyDescent="0.25">
      <c r="A208" s="50"/>
      <c r="B208" s="51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1:18" x14ac:dyDescent="0.25">
      <c r="A209" s="50"/>
      <c r="B209" s="51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</row>
    <row r="210" spans="1:18" x14ac:dyDescent="0.25">
      <c r="A210" s="50"/>
      <c r="B210" s="51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1:18" x14ac:dyDescent="0.25">
      <c r="A211" s="50"/>
      <c r="B211" s="51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</row>
    <row r="212" spans="1:18" x14ac:dyDescent="0.25">
      <c r="A212" s="50"/>
      <c r="B212" s="51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1:18" x14ac:dyDescent="0.25">
      <c r="A213" s="50"/>
      <c r="B213" s="51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</row>
    <row r="214" spans="1:18" x14ac:dyDescent="0.25">
      <c r="A214" s="50"/>
      <c r="B214" s="51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1:18" x14ac:dyDescent="0.25">
      <c r="A215" s="50"/>
      <c r="B215" s="51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</row>
    <row r="216" spans="1:18" x14ac:dyDescent="0.25">
      <c r="A216" s="50"/>
      <c r="B216" s="51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 x14ac:dyDescent="0.25">
      <c r="A217" s="50"/>
      <c r="B217" s="51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</row>
    <row r="218" spans="1:18" x14ac:dyDescent="0.25">
      <c r="A218" s="50"/>
      <c r="B218" s="51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</row>
    <row r="219" spans="1:18" x14ac:dyDescent="0.25">
      <c r="A219" s="50"/>
      <c r="B219" s="51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</row>
    <row r="220" spans="1:18" x14ac:dyDescent="0.25">
      <c r="A220" s="50"/>
      <c r="B220" s="51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1:18" x14ac:dyDescent="0.25">
      <c r="A221" s="50"/>
      <c r="B221" s="51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</row>
    <row r="222" spans="1:18" x14ac:dyDescent="0.25">
      <c r="A222" s="50"/>
      <c r="B222" s="51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</row>
    <row r="223" spans="1:18" x14ac:dyDescent="0.25">
      <c r="A223" s="50"/>
      <c r="B223" s="51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</row>
    <row r="224" spans="1:18" x14ac:dyDescent="0.25">
      <c r="A224" s="50"/>
      <c r="B224" s="51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1:18" x14ac:dyDescent="0.25">
      <c r="A225" s="50"/>
      <c r="B225" s="51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</row>
    <row r="226" spans="1:18" x14ac:dyDescent="0.25">
      <c r="A226" s="50"/>
      <c r="B226" s="51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1:18" x14ac:dyDescent="0.25">
      <c r="A227" s="50"/>
      <c r="B227" s="51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</row>
    <row r="228" spans="1:18" x14ac:dyDescent="0.25">
      <c r="A228" s="50"/>
      <c r="B228" s="51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1:18" x14ac:dyDescent="0.25">
      <c r="A229" s="50"/>
      <c r="B229" s="51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</row>
    <row r="230" spans="1:18" x14ac:dyDescent="0.25">
      <c r="A230" s="50"/>
      <c r="B230" s="51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1:18" x14ac:dyDescent="0.25">
      <c r="A231" s="50"/>
      <c r="B231" s="51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</row>
    <row r="232" spans="1:18" x14ac:dyDescent="0.25">
      <c r="A232" s="50"/>
      <c r="B232" s="51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1:18" x14ac:dyDescent="0.25">
      <c r="A233" s="50"/>
      <c r="B233" s="51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</row>
    <row r="234" spans="1:18" x14ac:dyDescent="0.25">
      <c r="A234" s="50"/>
      <c r="B234" s="51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</row>
    <row r="235" spans="1:18" x14ac:dyDescent="0.25">
      <c r="A235" s="50"/>
      <c r="B235" s="51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</row>
    <row r="236" spans="1:18" x14ac:dyDescent="0.25">
      <c r="A236" s="50"/>
      <c r="B236" s="51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1:18" x14ac:dyDescent="0.25">
      <c r="A237" s="50"/>
      <c r="B237" s="51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</row>
    <row r="238" spans="1:18" x14ac:dyDescent="0.25">
      <c r="A238" s="50"/>
      <c r="B238" s="51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</row>
    <row r="239" spans="1:18" x14ac:dyDescent="0.25">
      <c r="A239" s="50"/>
      <c r="B239" s="51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</row>
    <row r="240" spans="1:18" x14ac:dyDescent="0.25">
      <c r="A240" s="50"/>
      <c r="B240" s="51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1:18" x14ac:dyDescent="0.25">
      <c r="A241" s="50"/>
      <c r="B241" s="51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</row>
    <row r="242" spans="1:18" x14ac:dyDescent="0.25">
      <c r="A242" s="50"/>
      <c r="B242" s="51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1:18" x14ac:dyDescent="0.25">
      <c r="A243" s="50"/>
      <c r="B243" s="51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</row>
    <row r="244" spans="1:18" x14ac:dyDescent="0.25">
      <c r="A244" s="50"/>
      <c r="B244" s="51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1:18" x14ac:dyDescent="0.25">
      <c r="A245" s="50"/>
      <c r="B245" s="51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</row>
    <row r="246" spans="1:18" x14ac:dyDescent="0.25">
      <c r="A246" s="50"/>
      <c r="B246" s="51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</row>
    <row r="247" spans="1:18" x14ac:dyDescent="0.25">
      <c r="A247" s="50"/>
      <c r="B247" s="51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</row>
    <row r="248" spans="1:18" x14ac:dyDescent="0.25">
      <c r="A248" s="50"/>
      <c r="B248" s="51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1:18" x14ac:dyDescent="0.25">
      <c r="A249" s="50"/>
      <c r="B249" s="51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</row>
    <row r="250" spans="1:18" x14ac:dyDescent="0.25">
      <c r="A250" s="50"/>
      <c r="B250" s="51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</row>
    <row r="251" spans="1:18" x14ac:dyDescent="0.25">
      <c r="A251" s="50"/>
      <c r="B251" s="51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</row>
    <row r="252" spans="1:18" x14ac:dyDescent="0.25">
      <c r="A252" s="50"/>
      <c r="B252" s="51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1:18" x14ac:dyDescent="0.25">
      <c r="A253" s="50"/>
      <c r="B253" s="51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</row>
    <row r="254" spans="1:18" x14ac:dyDescent="0.25">
      <c r="A254" s="50"/>
      <c r="B254" s="51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1:18" x14ac:dyDescent="0.25">
      <c r="A255" s="50"/>
      <c r="B255" s="51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</row>
    <row r="256" spans="1:18" x14ac:dyDescent="0.25">
      <c r="A256" s="50"/>
      <c r="B256" s="51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1:18" x14ac:dyDescent="0.25">
      <c r="A257" s="50"/>
      <c r="B257" s="51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</row>
    <row r="258" spans="1:18" x14ac:dyDescent="0.25">
      <c r="A258" s="50"/>
      <c r="B258" s="51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1:18" x14ac:dyDescent="0.25">
      <c r="A259" s="50"/>
      <c r="B259" s="51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</row>
    <row r="260" spans="1:18" x14ac:dyDescent="0.25">
      <c r="A260" s="50"/>
      <c r="B260" s="51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1:18" x14ac:dyDescent="0.25">
      <c r="A261" s="50"/>
      <c r="B261" s="51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</row>
    <row r="262" spans="1:18" x14ac:dyDescent="0.25">
      <c r="A262" s="50"/>
      <c r="B262" s="51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</row>
    <row r="263" spans="1:18" x14ac:dyDescent="0.25">
      <c r="A263" s="50"/>
      <c r="B263" s="51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</row>
    <row r="264" spans="1:18" x14ac:dyDescent="0.25">
      <c r="A264" s="50"/>
      <c r="B264" s="51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1:18" x14ac:dyDescent="0.25">
      <c r="A265" s="50"/>
      <c r="B265" s="51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</row>
    <row r="266" spans="1:18" x14ac:dyDescent="0.25">
      <c r="A266" s="50"/>
      <c r="B266" s="51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</row>
    <row r="267" spans="1:18" x14ac:dyDescent="0.25">
      <c r="A267" s="50"/>
      <c r="B267" s="51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</row>
    <row r="268" spans="1:18" x14ac:dyDescent="0.25">
      <c r="A268" s="50"/>
      <c r="B268" s="51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1:18" x14ac:dyDescent="0.25">
      <c r="A269" s="50"/>
      <c r="B269" s="51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</row>
    <row r="270" spans="1:18" x14ac:dyDescent="0.25">
      <c r="A270" s="50"/>
      <c r="B270" s="51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1:18" x14ac:dyDescent="0.25">
      <c r="A271" s="50"/>
      <c r="B271" s="51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</row>
    <row r="272" spans="1:18" x14ac:dyDescent="0.25">
      <c r="A272" s="50"/>
      <c r="B272" s="51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1:18" x14ac:dyDescent="0.25">
      <c r="A273" s="50"/>
      <c r="B273" s="51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</row>
    <row r="274" spans="1:18" x14ac:dyDescent="0.25">
      <c r="A274" s="50"/>
      <c r="B274" s="51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</row>
    <row r="275" spans="1:18" x14ac:dyDescent="0.25">
      <c r="A275" s="50"/>
      <c r="B275" s="51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</row>
    <row r="276" spans="1:18" x14ac:dyDescent="0.25">
      <c r="A276" s="50"/>
      <c r="B276" s="51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1:18" x14ac:dyDescent="0.25">
      <c r="A277" s="50"/>
      <c r="B277" s="51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</row>
    <row r="278" spans="1:18" x14ac:dyDescent="0.25">
      <c r="A278" s="50"/>
      <c r="B278" s="51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</row>
    <row r="279" spans="1:18" x14ac:dyDescent="0.25">
      <c r="A279" s="50"/>
      <c r="B279" s="51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</row>
    <row r="280" spans="1:18" x14ac:dyDescent="0.25">
      <c r="A280" s="50"/>
      <c r="B280" s="51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1:18" x14ac:dyDescent="0.25">
      <c r="A281" s="50"/>
      <c r="B281" s="51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</row>
    <row r="282" spans="1:18" x14ac:dyDescent="0.25">
      <c r="A282" s="50"/>
      <c r="B282" s="51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1:18" x14ac:dyDescent="0.25">
      <c r="A283" s="50"/>
      <c r="B283" s="51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</row>
    <row r="284" spans="1:18" x14ac:dyDescent="0.25">
      <c r="A284" s="50"/>
      <c r="B284" s="51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1:18" x14ac:dyDescent="0.25">
      <c r="A285" s="50"/>
      <c r="B285" s="51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</row>
    <row r="286" spans="1:18" x14ac:dyDescent="0.25">
      <c r="A286" s="50"/>
      <c r="B286" s="51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1:18" x14ac:dyDescent="0.25">
      <c r="A287" s="50"/>
      <c r="B287" s="51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</row>
    <row r="288" spans="1:18" x14ac:dyDescent="0.25">
      <c r="A288" s="50"/>
      <c r="B288" s="51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1:18" x14ac:dyDescent="0.25">
      <c r="A289" s="50"/>
      <c r="B289" s="51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</row>
    <row r="290" spans="1:18" x14ac:dyDescent="0.25">
      <c r="A290" s="50"/>
      <c r="B290" s="51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</row>
    <row r="291" spans="1:18" x14ac:dyDescent="0.25">
      <c r="A291" s="50"/>
      <c r="B291" s="51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</row>
    <row r="292" spans="1:18" x14ac:dyDescent="0.25">
      <c r="A292" s="50"/>
      <c r="B292" s="51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1:18" x14ac:dyDescent="0.25">
      <c r="A293" s="50"/>
      <c r="B293" s="51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</row>
    <row r="294" spans="1:18" x14ac:dyDescent="0.25">
      <c r="A294" s="50"/>
      <c r="B294" s="51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</row>
    <row r="295" spans="1:18" x14ac:dyDescent="0.25">
      <c r="A295" s="50"/>
      <c r="B295" s="51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</row>
    <row r="296" spans="1:18" x14ac:dyDescent="0.25">
      <c r="A296" s="50"/>
      <c r="B296" s="51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1:18" x14ac:dyDescent="0.25">
      <c r="A297" s="50"/>
      <c r="B297" s="51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</row>
    <row r="298" spans="1:18" x14ac:dyDescent="0.25">
      <c r="A298" s="50"/>
      <c r="B298" s="51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</row>
    <row r="299" spans="1:18" x14ac:dyDescent="0.25">
      <c r="A299" s="50"/>
      <c r="B299" s="51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</row>
    <row r="300" spans="1:18" x14ac:dyDescent="0.25">
      <c r="A300" s="50"/>
      <c r="B300" s="51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1:18" x14ac:dyDescent="0.25">
      <c r="A301" s="50"/>
      <c r="B301" s="51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</row>
    <row r="302" spans="1:18" x14ac:dyDescent="0.25">
      <c r="A302" s="50"/>
      <c r="B302" s="51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1:18" x14ac:dyDescent="0.25">
      <c r="A303" s="50"/>
      <c r="B303" s="51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</row>
    <row r="304" spans="1:18" x14ac:dyDescent="0.25">
      <c r="A304" s="50"/>
      <c r="B304" s="51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1:18" x14ac:dyDescent="0.25">
      <c r="A305" s="50"/>
      <c r="B305" s="51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</row>
    <row r="306" spans="1:18" x14ac:dyDescent="0.25">
      <c r="A306" s="50"/>
      <c r="B306" s="51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1:18" x14ac:dyDescent="0.25">
      <c r="A307" s="50"/>
      <c r="B307" s="51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</row>
    <row r="308" spans="1:18" x14ac:dyDescent="0.25">
      <c r="A308" s="50"/>
      <c r="B308" s="51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1:18" x14ac:dyDescent="0.25">
      <c r="A309" s="50"/>
      <c r="B309" s="51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</row>
    <row r="310" spans="1:18" x14ac:dyDescent="0.25">
      <c r="A310" s="50"/>
      <c r="B310" s="51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</row>
    <row r="311" spans="1:18" x14ac:dyDescent="0.25">
      <c r="A311" s="50"/>
      <c r="B311" s="51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</row>
    <row r="312" spans="1:18" x14ac:dyDescent="0.25">
      <c r="A312" s="50"/>
      <c r="B312" s="51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1:18" x14ac:dyDescent="0.25">
      <c r="A313" s="50"/>
      <c r="B313" s="51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</row>
    <row r="314" spans="1:18" x14ac:dyDescent="0.25">
      <c r="A314" s="50"/>
      <c r="B314" s="51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</row>
    <row r="315" spans="1:18" x14ac:dyDescent="0.25">
      <c r="A315" s="50"/>
      <c r="B315" s="51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</row>
    <row r="316" spans="1:18" x14ac:dyDescent="0.25">
      <c r="A316" s="50"/>
      <c r="B316" s="51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1:18" x14ac:dyDescent="0.25">
      <c r="A317" s="50"/>
      <c r="B317" s="51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</row>
    <row r="318" spans="1:18" x14ac:dyDescent="0.25">
      <c r="A318" s="50"/>
      <c r="B318" s="51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</row>
    <row r="319" spans="1:18" x14ac:dyDescent="0.25">
      <c r="A319" s="50"/>
      <c r="B319" s="51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</row>
    <row r="320" spans="1:18" x14ac:dyDescent="0.25">
      <c r="A320" s="50"/>
      <c r="B320" s="51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1:18" x14ac:dyDescent="0.25">
      <c r="A321" s="50"/>
      <c r="B321" s="51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</row>
    <row r="322" spans="1:18" x14ac:dyDescent="0.25">
      <c r="A322" s="50"/>
      <c r="B322" s="51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1:18" x14ac:dyDescent="0.25">
      <c r="A323" s="50"/>
      <c r="B323" s="51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</row>
    <row r="324" spans="1:18" x14ac:dyDescent="0.25">
      <c r="A324" s="50"/>
      <c r="B324" s="51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1:18" x14ac:dyDescent="0.25">
      <c r="A325" s="50"/>
      <c r="B325" s="51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</row>
    <row r="326" spans="1:18" x14ac:dyDescent="0.25">
      <c r="A326" s="50"/>
      <c r="B326" s="51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1:18" x14ac:dyDescent="0.25">
      <c r="A327" s="50"/>
      <c r="B327" s="51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</row>
    <row r="328" spans="1:18" x14ac:dyDescent="0.25">
      <c r="A328" s="50"/>
      <c r="B328" s="51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1:18" x14ac:dyDescent="0.25">
      <c r="A329" s="50"/>
      <c r="B329" s="51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</row>
    <row r="330" spans="1:18" x14ac:dyDescent="0.25">
      <c r="A330" s="50"/>
      <c r="B330" s="51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1:18" x14ac:dyDescent="0.25">
      <c r="A331" s="50"/>
      <c r="B331" s="51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</row>
    <row r="332" spans="1:18" x14ac:dyDescent="0.25">
      <c r="A332" s="50"/>
      <c r="B332" s="51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1:18" x14ac:dyDescent="0.25">
      <c r="A333" s="50"/>
      <c r="B333" s="51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</row>
    <row r="334" spans="1:18" x14ac:dyDescent="0.25">
      <c r="A334" s="50"/>
      <c r="B334" s="51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</row>
    <row r="335" spans="1:18" x14ac:dyDescent="0.25">
      <c r="A335" s="50"/>
      <c r="B335" s="51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</row>
    <row r="336" spans="1:18" x14ac:dyDescent="0.25">
      <c r="A336" s="50"/>
      <c r="B336" s="51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1:18" x14ac:dyDescent="0.25">
      <c r="A337" s="50"/>
      <c r="B337" s="51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</row>
    <row r="338" spans="1:18" x14ac:dyDescent="0.25">
      <c r="A338" s="50"/>
      <c r="B338" s="51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</row>
    <row r="339" spans="1:18" x14ac:dyDescent="0.25">
      <c r="A339" s="50"/>
      <c r="B339" s="51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</row>
    <row r="340" spans="1:18" x14ac:dyDescent="0.25">
      <c r="A340" s="50"/>
      <c r="B340" s="51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1:18" x14ac:dyDescent="0.25">
      <c r="A341" s="50"/>
      <c r="B341" s="51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</row>
    <row r="342" spans="1:18" x14ac:dyDescent="0.25">
      <c r="A342" s="50"/>
      <c r="B342" s="51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</row>
    <row r="343" spans="1:18" x14ac:dyDescent="0.25">
      <c r="A343" s="50"/>
      <c r="B343" s="51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</row>
    <row r="344" spans="1:18" x14ac:dyDescent="0.25">
      <c r="A344" s="50"/>
      <c r="B344" s="51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1:18" x14ac:dyDescent="0.25">
      <c r="A345" s="50"/>
      <c r="B345" s="51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</row>
    <row r="346" spans="1:18" x14ac:dyDescent="0.25">
      <c r="A346" s="50"/>
      <c r="B346" s="51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1:18" x14ac:dyDescent="0.25">
      <c r="A347" s="50"/>
      <c r="B347" s="51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</row>
    <row r="348" spans="1:18" x14ac:dyDescent="0.25">
      <c r="A348" s="50"/>
      <c r="B348" s="51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1:18" x14ac:dyDescent="0.25">
      <c r="A349" s="50"/>
      <c r="B349" s="51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</row>
    <row r="350" spans="1:18" x14ac:dyDescent="0.25">
      <c r="A350" s="50"/>
      <c r="B350" s="51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1:18" x14ac:dyDescent="0.25">
      <c r="A351" s="50"/>
      <c r="B351" s="51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</row>
    <row r="352" spans="1:18" x14ac:dyDescent="0.25">
      <c r="A352" s="50"/>
      <c r="B352" s="51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1:18" x14ac:dyDescent="0.25">
      <c r="A353" s="50"/>
      <c r="B353" s="51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</row>
    <row r="354" spans="1:18" x14ac:dyDescent="0.25">
      <c r="A354" s="50"/>
      <c r="B354" s="51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</row>
    <row r="355" spans="1:18" x14ac:dyDescent="0.25">
      <c r="A355" s="50"/>
      <c r="B355" s="51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</row>
    <row r="356" spans="1:18" x14ac:dyDescent="0.25">
      <c r="A356" s="50"/>
      <c r="B356" s="51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1:18" x14ac:dyDescent="0.25">
      <c r="A357" s="50"/>
      <c r="B357" s="51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</row>
    <row r="358" spans="1:18" x14ac:dyDescent="0.25">
      <c r="A358" s="50"/>
      <c r="B358" s="51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</row>
    <row r="359" spans="1:18" x14ac:dyDescent="0.25">
      <c r="A359" s="50"/>
      <c r="B359" s="51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</row>
    <row r="360" spans="1:18" x14ac:dyDescent="0.25">
      <c r="A360" s="50"/>
      <c r="B360" s="51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1:18" x14ac:dyDescent="0.25">
      <c r="A361" s="50"/>
      <c r="B361" s="51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</row>
    <row r="362" spans="1:18" x14ac:dyDescent="0.25">
      <c r="A362" s="50"/>
      <c r="B362" s="51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</row>
    <row r="363" spans="1:18" x14ac:dyDescent="0.25">
      <c r="A363" s="50"/>
      <c r="B363" s="51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</row>
    <row r="364" spans="1:18" x14ac:dyDescent="0.25">
      <c r="A364" s="50"/>
      <c r="B364" s="51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1:18" x14ac:dyDescent="0.25">
      <c r="A365" s="50"/>
      <c r="B365" s="51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</row>
    <row r="366" spans="1:18" x14ac:dyDescent="0.25">
      <c r="A366" s="50"/>
      <c r="B366" s="51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1:18" x14ac:dyDescent="0.25">
      <c r="A367" s="50"/>
      <c r="B367" s="51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</row>
    <row r="368" spans="1:18" x14ac:dyDescent="0.25">
      <c r="A368" s="50"/>
      <c r="B368" s="51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1:18" x14ac:dyDescent="0.25">
      <c r="A369" s="50"/>
      <c r="B369" s="51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</row>
    <row r="370" spans="1:18" x14ac:dyDescent="0.25">
      <c r="A370" s="50"/>
      <c r="B370" s="51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1:18" x14ac:dyDescent="0.25">
      <c r="A371" s="50"/>
      <c r="B371" s="51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</row>
    <row r="372" spans="1:18" x14ac:dyDescent="0.25">
      <c r="A372" s="50"/>
      <c r="B372" s="51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1:18" x14ac:dyDescent="0.25">
      <c r="A373" s="50"/>
      <c r="B373" s="51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</row>
    <row r="374" spans="1:18" x14ac:dyDescent="0.25">
      <c r="A374" s="50"/>
      <c r="B374" s="51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1:18" x14ac:dyDescent="0.25">
      <c r="A375" s="50"/>
      <c r="B375" s="51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</row>
    <row r="376" spans="1:18" x14ac:dyDescent="0.25">
      <c r="A376" s="50"/>
      <c r="B376" s="51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1:18" x14ac:dyDescent="0.25">
      <c r="A377" s="50"/>
      <c r="B377" s="51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</row>
    <row r="378" spans="1:18" x14ac:dyDescent="0.25">
      <c r="A378" s="50"/>
      <c r="B378" s="51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</row>
    <row r="379" spans="1:18" x14ac:dyDescent="0.25">
      <c r="A379" s="50"/>
      <c r="B379" s="51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</row>
    <row r="380" spans="1:18" x14ac:dyDescent="0.25">
      <c r="A380" s="50"/>
      <c r="B380" s="51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1:18" x14ac:dyDescent="0.25">
      <c r="A381" s="50"/>
      <c r="B381" s="51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</row>
    <row r="382" spans="1:18" x14ac:dyDescent="0.25">
      <c r="A382" s="50"/>
      <c r="B382" s="51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</row>
    <row r="383" spans="1:18" x14ac:dyDescent="0.25">
      <c r="A383" s="50"/>
      <c r="B383" s="51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</row>
    <row r="384" spans="1:18" x14ac:dyDescent="0.25">
      <c r="A384" s="50"/>
      <c r="B384" s="51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1:18" x14ac:dyDescent="0.25">
      <c r="A385" s="50"/>
      <c r="B385" s="51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</row>
    <row r="386" spans="1:18" x14ac:dyDescent="0.25">
      <c r="A386" s="50"/>
      <c r="B386" s="51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</row>
    <row r="387" spans="1:18" x14ac:dyDescent="0.25">
      <c r="A387" s="50"/>
      <c r="B387" s="51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</row>
    <row r="388" spans="1:18" x14ac:dyDescent="0.25">
      <c r="A388" s="50"/>
      <c r="B388" s="51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1:18" x14ac:dyDescent="0.25">
      <c r="A389" s="50"/>
      <c r="B389" s="51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</row>
    <row r="390" spans="1:18" x14ac:dyDescent="0.25">
      <c r="A390" s="50"/>
      <c r="B390" s="51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1:18" x14ac:dyDescent="0.25">
      <c r="A391" s="50"/>
      <c r="B391" s="51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</row>
    <row r="392" spans="1:18" x14ac:dyDescent="0.25">
      <c r="A392" s="50"/>
      <c r="B392" s="51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1:18" x14ac:dyDescent="0.25">
      <c r="A393" s="50"/>
      <c r="B393" s="51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</row>
    <row r="394" spans="1:18" x14ac:dyDescent="0.25">
      <c r="A394" s="50"/>
      <c r="B394" s="51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1:18" x14ac:dyDescent="0.25">
      <c r="A395" s="50"/>
      <c r="B395" s="51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</row>
    <row r="396" spans="1:18" x14ac:dyDescent="0.25">
      <c r="A396" s="50"/>
      <c r="B396" s="51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1:18" x14ac:dyDescent="0.25">
      <c r="A397" s="50"/>
      <c r="B397" s="51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</row>
    <row r="398" spans="1:18" x14ac:dyDescent="0.25">
      <c r="A398" s="50"/>
      <c r="B398" s="51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1:18" x14ac:dyDescent="0.25">
      <c r="A399" s="50"/>
      <c r="B399" s="51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</row>
    <row r="400" spans="1:18" x14ac:dyDescent="0.25">
      <c r="A400" s="50"/>
      <c r="B400" s="51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1:18" x14ac:dyDescent="0.25">
      <c r="A401" s="50"/>
      <c r="B401" s="51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</row>
    <row r="402" spans="1:18" x14ac:dyDescent="0.25">
      <c r="A402" s="50"/>
      <c r="B402" s="51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</row>
    <row r="403" spans="1:18" x14ac:dyDescent="0.25">
      <c r="A403" s="50"/>
      <c r="B403" s="51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</row>
    <row r="404" spans="1:18" x14ac:dyDescent="0.25">
      <c r="A404" s="50"/>
      <c r="B404" s="51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1:18" x14ac:dyDescent="0.25">
      <c r="A405" s="50"/>
      <c r="B405" s="51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</row>
    <row r="406" spans="1:18" x14ac:dyDescent="0.25">
      <c r="A406" s="50"/>
      <c r="B406" s="51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</row>
    <row r="407" spans="1:18" x14ac:dyDescent="0.25">
      <c r="A407" s="50"/>
      <c r="B407" s="51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</row>
    <row r="408" spans="1:18" x14ac:dyDescent="0.25">
      <c r="A408" s="50"/>
      <c r="B408" s="51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1:18" x14ac:dyDescent="0.25">
      <c r="A409" s="50"/>
      <c r="B409" s="51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</row>
    <row r="410" spans="1:18" x14ac:dyDescent="0.25">
      <c r="A410" s="50"/>
      <c r="B410" s="51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</row>
    <row r="411" spans="1:18" x14ac:dyDescent="0.25">
      <c r="A411" s="50"/>
      <c r="B411" s="51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</row>
    <row r="412" spans="1:18" x14ac:dyDescent="0.25">
      <c r="A412" s="50"/>
      <c r="B412" s="51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1:18" x14ac:dyDescent="0.25">
      <c r="A413" s="50"/>
      <c r="B413" s="51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</row>
    <row r="414" spans="1:18" x14ac:dyDescent="0.25">
      <c r="A414" s="50"/>
      <c r="B414" s="51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</row>
    <row r="415" spans="1:18" x14ac:dyDescent="0.25">
      <c r="A415" s="50"/>
      <c r="B415" s="51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</row>
    <row r="416" spans="1:18" x14ac:dyDescent="0.25">
      <c r="A416" s="50"/>
      <c r="B416" s="51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1:18" x14ac:dyDescent="0.25">
      <c r="A417" s="50"/>
      <c r="B417" s="51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</row>
    <row r="418" spans="1:18" x14ac:dyDescent="0.25">
      <c r="A418" s="50"/>
      <c r="B418" s="51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</row>
    <row r="419" spans="1:18" x14ac:dyDescent="0.25">
      <c r="A419" s="50"/>
      <c r="B419" s="51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</row>
    <row r="420" spans="1:18" x14ac:dyDescent="0.25">
      <c r="A420" s="50"/>
      <c r="B420" s="51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1:18" x14ac:dyDescent="0.25">
      <c r="A421" s="50"/>
      <c r="B421" s="51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</row>
    <row r="422" spans="1:18" x14ac:dyDescent="0.25">
      <c r="A422" s="50"/>
      <c r="B422" s="51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</row>
    <row r="423" spans="1:18" x14ac:dyDescent="0.25">
      <c r="A423" s="50"/>
      <c r="B423" s="51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</row>
    <row r="424" spans="1:18" x14ac:dyDescent="0.25">
      <c r="A424" s="50"/>
      <c r="B424" s="51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1:18" x14ac:dyDescent="0.25">
      <c r="A425" s="50"/>
      <c r="B425" s="51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</row>
    <row r="426" spans="1:18" x14ac:dyDescent="0.25">
      <c r="A426" s="50"/>
      <c r="B426" s="51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</row>
    <row r="427" spans="1:18" x14ac:dyDescent="0.25">
      <c r="A427" s="50"/>
      <c r="B427" s="51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</row>
    <row r="428" spans="1:18" x14ac:dyDescent="0.25">
      <c r="A428" s="50"/>
      <c r="B428" s="51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1:18" x14ac:dyDescent="0.25">
      <c r="A429" s="50"/>
      <c r="B429" s="51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</row>
    <row r="430" spans="1:18" x14ac:dyDescent="0.25">
      <c r="A430" s="50"/>
      <c r="B430" s="51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</row>
    <row r="431" spans="1:18" x14ac:dyDescent="0.25">
      <c r="A431" s="50"/>
      <c r="B431" s="51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</row>
    <row r="432" spans="1:18" x14ac:dyDescent="0.25">
      <c r="A432" s="50"/>
      <c r="B432" s="51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1:18" x14ac:dyDescent="0.25">
      <c r="A433" s="50"/>
      <c r="B433" s="51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</row>
    <row r="434" spans="1:18" x14ac:dyDescent="0.25">
      <c r="A434" s="50"/>
      <c r="B434" s="51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</row>
    <row r="435" spans="1:18" x14ac:dyDescent="0.25">
      <c r="A435" s="50"/>
      <c r="B435" s="51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</row>
    <row r="436" spans="1:18" x14ac:dyDescent="0.25">
      <c r="A436" s="50"/>
      <c r="B436" s="51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1:18" x14ac:dyDescent="0.25">
      <c r="A437" s="50"/>
      <c r="B437" s="51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</row>
    <row r="438" spans="1:18" x14ac:dyDescent="0.25">
      <c r="A438" s="50"/>
      <c r="B438" s="51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</row>
    <row r="439" spans="1:18" x14ac:dyDescent="0.25">
      <c r="A439" s="50"/>
      <c r="B439" s="51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</row>
    <row r="440" spans="1:18" x14ac:dyDescent="0.25">
      <c r="A440" s="50"/>
      <c r="B440" s="51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1:18" x14ac:dyDescent="0.25">
      <c r="A441" s="50"/>
      <c r="B441" s="51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</row>
    <row r="442" spans="1:18" x14ac:dyDescent="0.25">
      <c r="A442" s="50"/>
      <c r="B442" s="51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</row>
    <row r="443" spans="1:18" x14ac:dyDescent="0.25">
      <c r="A443" s="50"/>
      <c r="B443" s="51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</row>
    <row r="444" spans="1:18" x14ac:dyDescent="0.25">
      <c r="A444" s="50"/>
      <c r="B444" s="51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1:18" x14ac:dyDescent="0.25">
      <c r="A445" s="50"/>
      <c r="B445" s="51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</row>
    <row r="446" spans="1:18" x14ac:dyDescent="0.25">
      <c r="A446" s="50"/>
      <c r="B446" s="51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</row>
    <row r="447" spans="1:18" x14ac:dyDescent="0.25">
      <c r="A447" s="50"/>
      <c r="B447" s="51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</row>
    <row r="448" spans="1:18" x14ac:dyDescent="0.25">
      <c r="A448" s="50"/>
      <c r="B448" s="51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1:18" x14ac:dyDescent="0.25">
      <c r="A449" s="50"/>
      <c r="B449" s="51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</row>
    <row r="450" spans="1:18" x14ac:dyDescent="0.25">
      <c r="A450" s="50"/>
      <c r="B450" s="51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</row>
    <row r="451" spans="1:18" x14ac:dyDescent="0.25">
      <c r="A451" s="50"/>
      <c r="B451" s="51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</row>
    <row r="452" spans="1:18" x14ac:dyDescent="0.25">
      <c r="A452" s="50"/>
      <c r="B452" s="51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1:18" x14ac:dyDescent="0.25">
      <c r="A453" s="50"/>
      <c r="B453" s="51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</row>
    <row r="454" spans="1:18" x14ac:dyDescent="0.25">
      <c r="A454" s="50"/>
      <c r="B454" s="51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</row>
    <row r="455" spans="1:18" x14ac:dyDescent="0.25">
      <c r="A455" s="50"/>
      <c r="B455" s="51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</row>
    <row r="456" spans="1:18" x14ac:dyDescent="0.25">
      <c r="A456" s="50"/>
      <c r="B456" s="51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1:18" x14ac:dyDescent="0.25">
      <c r="A457" s="50"/>
      <c r="B457" s="51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</row>
    <row r="458" spans="1:18" x14ac:dyDescent="0.25">
      <c r="A458" s="50"/>
      <c r="B458" s="51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</row>
    <row r="459" spans="1:18" x14ac:dyDescent="0.25">
      <c r="A459" s="50"/>
      <c r="B459" s="51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</row>
    <row r="460" spans="1:18" x14ac:dyDescent="0.25">
      <c r="A460" s="50"/>
      <c r="B460" s="51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1:18" x14ac:dyDescent="0.25">
      <c r="A461" s="50"/>
      <c r="B461" s="51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</row>
    <row r="462" spans="1:18" x14ac:dyDescent="0.25">
      <c r="A462" s="50"/>
      <c r="B462" s="51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</row>
    <row r="463" spans="1:18" x14ac:dyDescent="0.25">
      <c r="A463" s="50"/>
      <c r="B463" s="51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</row>
    <row r="464" spans="1:18" x14ac:dyDescent="0.25">
      <c r="A464" s="50"/>
      <c r="B464" s="51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1:18" x14ac:dyDescent="0.25">
      <c r="A465" s="50"/>
      <c r="B465" s="51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</row>
    <row r="466" spans="1:18" x14ac:dyDescent="0.25">
      <c r="A466" s="50"/>
      <c r="B466" s="51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</row>
    <row r="467" spans="1:18" x14ac:dyDescent="0.25">
      <c r="A467" s="50"/>
      <c r="B467" s="51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</row>
    <row r="468" spans="1:18" x14ac:dyDescent="0.25">
      <c r="A468" s="50"/>
      <c r="B468" s="51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1:18" x14ac:dyDescent="0.25">
      <c r="A469" s="50"/>
      <c r="B469" s="51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</row>
    <row r="470" spans="1:18" x14ac:dyDescent="0.25">
      <c r="A470" s="50"/>
      <c r="B470" s="51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</row>
    <row r="471" spans="1:18" x14ac:dyDescent="0.25">
      <c r="A471" s="50"/>
      <c r="B471" s="51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</row>
    <row r="472" spans="1:18" x14ac:dyDescent="0.25">
      <c r="A472" s="50"/>
      <c r="B472" s="51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1:18" x14ac:dyDescent="0.25">
      <c r="A473" s="50"/>
      <c r="B473" s="51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</row>
    <row r="474" spans="1:18" x14ac:dyDescent="0.25">
      <c r="A474" s="50"/>
      <c r="B474" s="51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</row>
    <row r="475" spans="1:18" x14ac:dyDescent="0.25">
      <c r="A475" s="50"/>
      <c r="B475" s="51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</row>
    <row r="476" spans="1:18" x14ac:dyDescent="0.25">
      <c r="A476" s="50"/>
      <c r="B476" s="51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1:18" x14ac:dyDescent="0.25">
      <c r="A477" s="50"/>
      <c r="B477" s="51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</row>
    <row r="478" spans="1:18" x14ac:dyDescent="0.25">
      <c r="A478" s="50"/>
      <c r="B478" s="51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</row>
    <row r="479" spans="1:18" x14ac:dyDescent="0.25">
      <c r="A479" s="50"/>
      <c r="B479" s="51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</row>
    <row r="480" spans="1:18" x14ac:dyDescent="0.25">
      <c r="A480" s="50"/>
      <c r="B480" s="51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1:18" x14ac:dyDescent="0.25">
      <c r="A481" s="50"/>
      <c r="B481" s="51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</row>
    <row r="482" spans="1:18" x14ac:dyDescent="0.25">
      <c r="A482" s="50"/>
      <c r="B482" s="51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</row>
    <row r="483" spans="1:18" x14ac:dyDescent="0.25">
      <c r="A483" s="50"/>
      <c r="B483" s="51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</row>
    <row r="484" spans="1:18" x14ac:dyDescent="0.25">
      <c r="A484" s="50"/>
      <c r="B484" s="51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1:18" x14ac:dyDescent="0.25">
      <c r="A485" s="50"/>
      <c r="B485" s="51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</row>
    <row r="486" spans="1:18" x14ac:dyDescent="0.25">
      <c r="A486" s="50"/>
      <c r="B486" s="51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</row>
    <row r="487" spans="1:18" x14ac:dyDescent="0.25">
      <c r="A487" s="50"/>
      <c r="B487" s="51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</row>
    <row r="488" spans="1:18" x14ac:dyDescent="0.25">
      <c r="A488" s="50"/>
      <c r="B488" s="51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1:18" x14ac:dyDescent="0.25">
      <c r="A489" s="50"/>
      <c r="B489" s="51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</row>
    <row r="490" spans="1:18" x14ac:dyDescent="0.25">
      <c r="A490" s="50"/>
      <c r="B490" s="51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</row>
    <row r="491" spans="1:18" x14ac:dyDescent="0.25">
      <c r="A491" s="50"/>
      <c r="B491" s="51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</row>
    <row r="492" spans="1:18" x14ac:dyDescent="0.25">
      <c r="A492" s="50"/>
      <c r="B492" s="51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1:18" x14ac:dyDescent="0.25">
      <c r="A493" s="50"/>
      <c r="B493" s="51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</row>
    <row r="494" spans="1:18" x14ac:dyDescent="0.25">
      <c r="A494" s="50"/>
      <c r="B494" s="51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</row>
    <row r="495" spans="1:18" x14ac:dyDescent="0.25">
      <c r="A495" s="50"/>
      <c r="B495" s="51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</row>
    <row r="496" spans="1:18" x14ac:dyDescent="0.25">
      <c r="A496" s="50"/>
      <c r="B496" s="51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1:18" x14ac:dyDescent="0.25">
      <c r="A497" s="50"/>
      <c r="B497" s="51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</row>
    <row r="498" spans="1:18" x14ac:dyDescent="0.25">
      <c r="A498" s="50"/>
      <c r="B498" s="51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</row>
    <row r="499" spans="1:18" x14ac:dyDescent="0.25">
      <c r="A499" s="50"/>
      <c r="B499" s="51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</row>
    <row r="500" spans="1:18" x14ac:dyDescent="0.25">
      <c r="A500" s="50"/>
      <c r="B500" s="51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1:18" x14ac:dyDescent="0.25">
      <c r="A501" s="50"/>
      <c r="B501" s="51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</row>
    <row r="502" spans="1:18" x14ac:dyDescent="0.25">
      <c r="A502" s="50"/>
      <c r="B502" s="51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</row>
    <row r="503" spans="1:18" x14ac:dyDescent="0.25">
      <c r="A503" s="50"/>
      <c r="B503" s="51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</row>
    <row r="504" spans="1:18" x14ac:dyDescent="0.25">
      <c r="A504" s="50"/>
      <c r="B504" s="51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1:18" x14ac:dyDescent="0.25">
      <c r="A505" s="50"/>
      <c r="B505" s="51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</row>
    <row r="506" spans="1:18" x14ac:dyDescent="0.25">
      <c r="A506" s="50"/>
      <c r="B506" s="51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</row>
    <row r="507" spans="1:18" x14ac:dyDescent="0.25">
      <c r="A507" s="50"/>
      <c r="B507" s="51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</row>
    <row r="508" spans="1:18" x14ac:dyDescent="0.25">
      <c r="A508" s="50"/>
      <c r="B508" s="51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1:18" x14ac:dyDescent="0.25">
      <c r="A509" s="50"/>
      <c r="B509" s="51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</row>
    <row r="510" spans="1:18" x14ac:dyDescent="0.25">
      <c r="A510" s="50"/>
      <c r="B510" s="51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</row>
    <row r="511" spans="1:18" x14ac:dyDescent="0.25">
      <c r="A511" s="50"/>
      <c r="B511" s="51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</row>
    <row r="512" spans="1:18" x14ac:dyDescent="0.25">
      <c r="A512" s="50"/>
      <c r="B512" s="51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1:18" x14ac:dyDescent="0.25">
      <c r="A513" s="50"/>
      <c r="B513" s="51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</row>
    <row r="514" spans="1:18" x14ac:dyDescent="0.25">
      <c r="A514" s="50"/>
      <c r="B514" s="51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</row>
    <row r="515" spans="1:18" x14ac:dyDescent="0.25">
      <c r="A515" s="50"/>
      <c r="B515" s="51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</row>
    <row r="516" spans="1:18" x14ac:dyDescent="0.25">
      <c r="A516" s="50"/>
      <c r="B516" s="51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1:18" x14ac:dyDescent="0.25">
      <c r="A517" s="50"/>
      <c r="B517" s="51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</row>
    <row r="518" spans="1:18" x14ac:dyDescent="0.25">
      <c r="A518" s="50"/>
      <c r="B518" s="51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</row>
    <row r="519" spans="1:18" x14ac:dyDescent="0.25">
      <c r="A519" s="50"/>
      <c r="B519" s="51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</row>
    <row r="520" spans="1:18" x14ac:dyDescent="0.25">
      <c r="A520" s="50"/>
      <c r="B520" s="51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1:18" x14ac:dyDescent="0.25">
      <c r="A521" s="50"/>
      <c r="B521" s="51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</row>
    <row r="522" spans="1:18" x14ac:dyDescent="0.25">
      <c r="A522" s="50"/>
      <c r="B522" s="51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</row>
    <row r="523" spans="1:18" x14ac:dyDescent="0.25">
      <c r="A523" s="50"/>
      <c r="B523" s="51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</row>
    <row r="524" spans="1:18" x14ac:dyDescent="0.25">
      <c r="A524" s="50"/>
      <c r="B524" s="51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1:18" x14ac:dyDescent="0.25">
      <c r="A525" s="50"/>
      <c r="B525" s="51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</row>
    <row r="526" spans="1:18" x14ac:dyDescent="0.25">
      <c r="A526" s="50"/>
      <c r="B526" s="51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</row>
    <row r="527" spans="1:18" x14ac:dyDescent="0.25">
      <c r="A527" s="50"/>
      <c r="B527" s="51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</row>
    <row r="528" spans="1:18" x14ac:dyDescent="0.25">
      <c r="A528" s="50"/>
      <c r="B528" s="51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1:18" x14ac:dyDescent="0.25">
      <c r="A529" s="50"/>
      <c r="B529" s="51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</row>
    <row r="530" spans="1:18" x14ac:dyDescent="0.25">
      <c r="A530" s="50"/>
      <c r="B530" s="51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</row>
    <row r="531" spans="1:18" x14ac:dyDescent="0.25">
      <c r="A531" s="50"/>
      <c r="B531" s="51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</row>
    <row r="532" spans="1:18" x14ac:dyDescent="0.25">
      <c r="A532" s="50"/>
      <c r="B532" s="51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1:18" x14ac:dyDescent="0.25">
      <c r="A533" s="50"/>
      <c r="B533" s="51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</row>
    <row r="534" spans="1:18" x14ac:dyDescent="0.25">
      <c r="A534" s="50"/>
      <c r="B534" s="51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</row>
    <row r="535" spans="1:18" x14ac:dyDescent="0.25">
      <c r="A535" s="50"/>
      <c r="B535" s="51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</row>
    <row r="536" spans="1:18" x14ac:dyDescent="0.25">
      <c r="A536" s="50"/>
      <c r="B536" s="51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1:18" x14ac:dyDescent="0.25">
      <c r="A537" s="50"/>
      <c r="B537" s="51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</row>
    <row r="538" spans="1:18" x14ac:dyDescent="0.25">
      <c r="A538" s="50"/>
      <c r="B538" s="51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</row>
    <row r="539" spans="1:18" x14ac:dyDescent="0.25">
      <c r="A539" s="50"/>
      <c r="B539" s="51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</row>
    <row r="540" spans="1:18" x14ac:dyDescent="0.25">
      <c r="A540" s="50"/>
      <c r="B540" s="51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1:18" x14ac:dyDescent="0.25">
      <c r="A541" s="50"/>
      <c r="B541" s="51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</row>
    <row r="542" spans="1:18" x14ac:dyDescent="0.25">
      <c r="A542" s="50"/>
      <c r="B542" s="51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</row>
    <row r="543" spans="1:18" x14ac:dyDescent="0.25">
      <c r="A543" s="50"/>
      <c r="B543" s="51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</row>
    <row r="544" spans="1:18" x14ac:dyDescent="0.25">
      <c r="A544" s="50"/>
      <c r="B544" s="51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1:18" x14ac:dyDescent="0.25">
      <c r="A545" s="50"/>
      <c r="B545" s="51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</row>
    <row r="546" spans="1:18" x14ac:dyDescent="0.25">
      <c r="A546" s="50"/>
      <c r="B546" s="51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</row>
    <row r="547" spans="1:18" x14ac:dyDescent="0.25">
      <c r="A547" s="50"/>
      <c r="B547" s="51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</row>
    <row r="548" spans="1:18" x14ac:dyDescent="0.25">
      <c r="A548" s="50"/>
      <c r="B548" s="51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1:18" x14ac:dyDescent="0.25">
      <c r="A549" s="50"/>
      <c r="B549" s="51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</row>
    <row r="550" spans="1:18" x14ac:dyDescent="0.25">
      <c r="A550" s="50"/>
      <c r="B550" s="51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</row>
    <row r="551" spans="1:18" x14ac:dyDescent="0.25">
      <c r="A551" s="50"/>
      <c r="B551" s="51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</row>
    <row r="552" spans="1:18" x14ac:dyDescent="0.25">
      <c r="A552" s="50"/>
      <c r="B552" s="51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1:18" x14ac:dyDescent="0.25">
      <c r="A553" s="50"/>
      <c r="B553" s="51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</row>
    <row r="554" spans="1:18" x14ac:dyDescent="0.25">
      <c r="A554" s="50"/>
      <c r="B554" s="51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</row>
    <row r="555" spans="1:18" x14ac:dyDescent="0.25">
      <c r="A555" s="50"/>
      <c r="B555" s="51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</row>
    <row r="556" spans="1:18" x14ac:dyDescent="0.25">
      <c r="A556" s="50"/>
      <c r="B556" s="51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1:18" x14ac:dyDescent="0.25">
      <c r="A557" s="50"/>
      <c r="B557" s="51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</row>
    <row r="558" spans="1:18" x14ac:dyDescent="0.25">
      <c r="A558" s="50"/>
      <c r="B558" s="51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</row>
    <row r="559" spans="1:18" x14ac:dyDescent="0.25">
      <c r="A559" s="50"/>
      <c r="B559" s="51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</row>
    <row r="560" spans="1:18" x14ac:dyDescent="0.25">
      <c r="A560" s="50"/>
      <c r="B560" s="51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1:18" x14ac:dyDescent="0.25">
      <c r="A561" s="50"/>
      <c r="B561" s="51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</row>
    <row r="562" spans="1:18" x14ac:dyDescent="0.25">
      <c r="A562" s="50"/>
      <c r="B562" s="51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</row>
    <row r="563" spans="1:18" x14ac:dyDescent="0.25">
      <c r="A563" s="50"/>
      <c r="B563" s="51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</row>
    <row r="564" spans="1:18" x14ac:dyDescent="0.25">
      <c r="A564" s="50"/>
      <c r="B564" s="51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1:18" x14ac:dyDescent="0.25">
      <c r="A565" s="50"/>
      <c r="B565" s="51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</row>
    <row r="566" spans="1:18" x14ac:dyDescent="0.25">
      <c r="A566" s="50"/>
      <c r="B566" s="51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</row>
    <row r="567" spans="1:18" x14ac:dyDescent="0.25">
      <c r="A567" s="50"/>
      <c r="B567" s="51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</row>
    <row r="568" spans="1:18" x14ac:dyDescent="0.25">
      <c r="A568" s="50"/>
      <c r="B568" s="51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1:18" x14ac:dyDescent="0.25">
      <c r="A569" s="50"/>
      <c r="B569" s="51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</row>
    <row r="570" spans="1:18" x14ac:dyDescent="0.25">
      <c r="A570" s="50"/>
      <c r="B570" s="51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</row>
    <row r="571" spans="1:18" x14ac:dyDescent="0.25">
      <c r="A571" s="50"/>
      <c r="B571" s="51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</row>
    <row r="572" spans="1:18" x14ac:dyDescent="0.25">
      <c r="A572" s="50"/>
      <c r="B572" s="51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1:18" x14ac:dyDescent="0.25">
      <c r="A573" s="50"/>
      <c r="B573" s="51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</row>
    <row r="574" spans="1:18" x14ac:dyDescent="0.25">
      <c r="A574" s="50"/>
      <c r="B574" s="51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</row>
    <row r="575" spans="1:18" x14ac:dyDescent="0.25">
      <c r="A575" s="50"/>
      <c r="B575" s="51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</row>
    <row r="576" spans="1:18" x14ac:dyDescent="0.25">
      <c r="A576" s="50"/>
      <c r="B576" s="51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1:18" x14ac:dyDescent="0.25">
      <c r="A577" s="50"/>
      <c r="B577" s="51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</row>
    <row r="578" spans="1:18" x14ac:dyDescent="0.25">
      <c r="A578" s="50"/>
      <c r="B578" s="51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</row>
    <row r="579" spans="1:18" x14ac:dyDescent="0.25">
      <c r="A579" s="50"/>
      <c r="B579" s="51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</row>
    <row r="580" spans="1:18" x14ac:dyDescent="0.25">
      <c r="A580" s="50"/>
      <c r="B580" s="51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1:18" x14ac:dyDescent="0.25">
      <c r="A581" s="50"/>
      <c r="B581" s="51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</row>
    <row r="582" spans="1:18" x14ac:dyDescent="0.25">
      <c r="A582" s="50"/>
      <c r="B582" s="51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</row>
    <row r="583" spans="1:18" x14ac:dyDescent="0.25">
      <c r="A583" s="50"/>
      <c r="B583" s="51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</row>
    <row r="584" spans="1:18" x14ac:dyDescent="0.25">
      <c r="A584" s="50"/>
      <c r="B584" s="51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1:18" x14ac:dyDescent="0.25">
      <c r="A585" s="50"/>
      <c r="B585" s="51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</row>
    <row r="586" spans="1:18" x14ac:dyDescent="0.25">
      <c r="A586" s="50"/>
      <c r="B586" s="51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</row>
    <row r="587" spans="1:18" x14ac:dyDescent="0.25">
      <c r="A587" s="50"/>
      <c r="B587" s="51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</row>
    <row r="588" spans="1:18" x14ac:dyDescent="0.25">
      <c r="A588" s="50"/>
      <c r="B588" s="51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1:18" x14ac:dyDescent="0.25">
      <c r="A589" s="50"/>
      <c r="B589" s="51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</row>
    <row r="590" spans="1:18" x14ac:dyDescent="0.25">
      <c r="A590" s="50"/>
      <c r="B590" s="51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</row>
    <row r="591" spans="1:18" x14ac:dyDescent="0.25">
      <c r="A591" s="50"/>
      <c r="B591" s="51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</row>
    <row r="592" spans="1:18" x14ac:dyDescent="0.25">
      <c r="A592" s="50"/>
      <c r="B592" s="51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1:18" x14ac:dyDescent="0.25">
      <c r="A593" s="50"/>
      <c r="B593" s="51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</row>
    <row r="594" spans="1:18" x14ac:dyDescent="0.25">
      <c r="A594" s="50"/>
      <c r="B594" s="51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</row>
    <row r="595" spans="1:18" x14ac:dyDescent="0.25">
      <c r="A595" s="50"/>
      <c r="B595" s="51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</row>
    <row r="596" spans="1:18" x14ac:dyDescent="0.25">
      <c r="A596" s="50"/>
      <c r="B596" s="51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1:18" x14ac:dyDescent="0.25">
      <c r="A597" s="50"/>
      <c r="B597" s="51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</row>
    <row r="598" spans="1:18" x14ac:dyDescent="0.25">
      <c r="A598" s="50"/>
      <c r="B598" s="51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</row>
    <row r="599" spans="1:18" x14ac:dyDescent="0.25">
      <c r="A599" s="50"/>
      <c r="B599" s="51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</row>
    <row r="600" spans="1:18" x14ac:dyDescent="0.25">
      <c r="A600" s="50"/>
      <c r="B600" s="51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1:18" x14ac:dyDescent="0.25">
      <c r="A601" s="50"/>
      <c r="B601" s="51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</row>
    <row r="602" spans="1:18" x14ac:dyDescent="0.25">
      <c r="A602" s="50"/>
      <c r="B602" s="51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</row>
    <row r="603" spans="1:18" x14ac:dyDescent="0.25">
      <c r="A603" s="50"/>
      <c r="B603" s="51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</row>
    <row r="604" spans="1:18" x14ac:dyDescent="0.25">
      <c r="A604" s="50"/>
      <c r="B604" s="51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1:18" x14ac:dyDescent="0.25">
      <c r="A605" s="50"/>
      <c r="B605" s="51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</row>
    <row r="606" spans="1:18" x14ac:dyDescent="0.25">
      <c r="A606" s="50"/>
      <c r="B606" s="51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</row>
    <row r="607" spans="1:18" x14ac:dyDescent="0.25">
      <c r="A607" s="50"/>
      <c r="B607" s="51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</row>
    <row r="608" spans="1:18" x14ac:dyDescent="0.25">
      <c r="A608" s="50"/>
      <c r="B608" s="51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1:18" x14ac:dyDescent="0.25">
      <c r="A609" s="50"/>
      <c r="B609" s="51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</row>
    <row r="610" spans="1:18" x14ac:dyDescent="0.25">
      <c r="A610" s="50"/>
      <c r="B610" s="51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</row>
    <row r="611" spans="1:18" x14ac:dyDescent="0.25">
      <c r="A611" s="50"/>
      <c r="B611" s="51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</row>
    <row r="612" spans="1:18" x14ac:dyDescent="0.25">
      <c r="A612" s="50"/>
      <c r="B612" s="51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1:18" x14ac:dyDescent="0.25">
      <c r="A613" s="50"/>
      <c r="B613" s="51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</row>
    <row r="614" spans="1:18" x14ac:dyDescent="0.25">
      <c r="A614" s="50"/>
      <c r="B614" s="51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</row>
    <row r="615" spans="1:18" x14ac:dyDescent="0.25">
      <c r="A615" s="50"/>
      <c r="B615" s="51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</row>
    <row r="616" spans="1:18" x14ac:dyDescent="0.25">
      <c r="A616" s="50"/>
      <c r="B616" s="51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1:18" x14ac:dyDescent="0.25">
      <c r="A617" s="50"/>
      <c r="B617" s="51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</row>
    <row r="618" spans="1:18" x14ac:dyDescent="0.25">
      <c r="A618" s="50"/>
      <c r="B618" s="51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</row>
    <row r="619" spans="1:18" x14ac:dyDescent="0.25">
      <c r="A619" s="50"/>
      <c r="B619" s="51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</row>
    <row r="620" spans="1:18" x14ac:dyDescent="0.25">
      <c r="A620" s="50"/>
      <c r="B620" s="51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1:18" x14ac:dyDescent="0.25">
      <c r="A621" s="50"/>
      <c r="B621" s="51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</row>
    <row r="622" spans="1:18" x14ac:dyDescent="0.25">
      <c r="A622" s="50"/>
      <c r="B622" s="51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</row>
    <row r="623" spans="1:18" x14ac:dyDescent="0.25">
      <c r="A623" s="50"/>
      <c r="B623" s="51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</row>
    <row r="624" spans="1:18" x14ac:dyDescent="0.25">
      <c r="A624" s="50"/>
      <c r="B624" s="51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1:18" x14ac:dyDescent="0.25">
      <c r="A625" s="50"/>
      <c r="B625" s="51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</row>
    <row r="626" spans="1:18" x14ac:dyDescent="0.25">
      <c r="A626" s="50"/>
      <c r="B626" s="51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</row>
    <row r="627" spans="1:18" x14ac:dyDescent="0.25">
      <c r="A627" s="50"/>
      <c r="B627" s="51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</row>
    <row r="628" spans="1:18" x14ac:dyDescent="0.25">
      <c r="A628" s="50"/>
      <c r="B628" s="51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1:18" x14ac:dyDescent="0.25">
      <c r="A629" s="50"/>
      <c r="B629" s="51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</row>
    <row r="630" spans="1:18" x14ac:dyDescent="0.25">
      <c r="A630" s="50"/>
      <c r="B630" s="51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</row>
    <row r="631" spans="1:18" x14ac:dyDescent="0.25">
      <c r="A631" s="50"/>
      <c r="B631" s="51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</row>
    <row r="632" spans="1:18" x14ac:dyDescent="0.25">
      <c r="A632" s="50"/>
      <c r="B632" s="51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1:18" x14ac:dyDescent="0.25">
      <c r="A633" s="50"/>
      <c r="B633" s="51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</row>
    <row r="634" spans="1:18" x14ac:dyDescent="0.25">
      <c r="A634" s="50"/>
      <c r="B634" s="51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</row>
    <row r="635" spans="1:18" x14ac:dyDescent="0.25">
      <c r="A635" s="50"/>
      <c r="B635" s="51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</row>
    <row r="636" spans="1:18" x14ac:dyDescent="0.25">
      <c r="A636" s="50"/>
      <c r="B636" s="51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1:18" x14ac:dyDescent="0.25">
      <c r="A637" s="50"/>
      <c r="B637" s="51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</row>
    <row r="638" spans="1:18" x14ac:dyDescent="0.25">
      <c r="A638" s="50"/>
      <c r="B638" s="51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</row>
    <row r="639" spans="1:18" x14ac:dyDescent="0.25">
      <c r="A639" s="50"/>
      <c r="B639" s="51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</row>
    <row r="640" spans="1:18" x14ac:dyDescent="0.25">
      <c r="A640" s="50"/>
      <c r="B640" s="51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1:18" x14ac:dyDescent="0.25">
      <c r="A641" s="50"/>
      <c r="B641" s="51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</row>
    <row r="642" spans="1:18" x14ac:dyDescent="0.25">
      <c r="A642" s="50"/>
      <c r="B642" s="51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</row>
    <row r="643" spans="1:18" x14ac:dyDescent="0.25">
      <c r="A643" s="50"/>
      <c r="B643" s="51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</row>
    <row r="644" spans="1:18" x14ac:dyDescent="0.25">
      <c r="A644" s="50"/>
      <c r="B644" s="51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1:18" x14ac:dyDescent="0.25">
      <c r="A645" s="50"/>
      <c r="B645" s="51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</row>
    <row r="646" spans="1:18" x14ac:dyDescent="0.25">
      <c r="A646" s="50"/>
      <c r="B646" s="51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</row>
    <row r="647" spans="1:18" x14ac:dyDescent="0.25">
      <c r="A647" s="50"/>
      <c r="B647" s="51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</row>
    <row r="648" spans="1:18" x14ac:dyDescent="0.25">
      <c r="A648" s="50"/>
      <c r="B648" s="51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1:18" x14ac:dyDescent="0.25">
      <c r="A649" s="50"/>
      <c r="B649" s="51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</row>
    <row r="650" spans="1:18" x14ac:dyDescent="0.25">
      <c r="A650" s="50"/>
      <c r="B650" s="51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</row>
    <row r="651" spans="1:18" x14ac:dyDescent="0.25">
      <c r="A651" s="50"/>
      <c r="B651" s="51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</row>
    <row r="652" spans="1:18" x14ac:dyDescent="0.25">
      <c r="A652" s="50"/>
      <c r="B652" s="51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1:18" x14ac:dyDescent="0.25">
      <c r="A653" s="50"/>
      <c r="B653" s="51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</row>
    <row r="654" spans="1:18" x14ac:dyDescent="0.25">
      <c r="A654" s="50"/>
      <c r="B654" s="51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</row>
    <row r="655" spans="1:18" x14ac:dyDescent="0.25">
      <c r="A655" s="50"/>
      <c r="B655" s="51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</row>
    <row r="656" spans="1:18" x14ac:dyDescent="0.25">
      <c r="A656" s="50"/>
      <c r="B656" s="51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1:18" x14ac:dyDescent="0.25">
      <c r="A657" s="50"/>
      <c r="B657" s="51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</row>
    <row r="658" spans="1:18" x14ac:dyDescent="0.25">
      <c r="A658" s="50"/>
      <c r="B658" s="51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</row>
    <row r="659" spans="1:18" x14ac:dyDescent="0.25">
      <c r="A659" s="50"/>
      <c r="B659" s="51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</row>
    <row r="660" spans="1:18" x14ac:dyDescent="0.25">
      <c r="A660" s="50"/>
      <c r="B660" s="51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1:18" x14ac:dyDescent="0.25">
      <c r="A661" s="50"/>
      <c r="B661" s="51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</row>
    <row r="662" spans="1:18" x14ac:dyDescent="0.25">
      <c r="A662" s="50"/>
      <c r="B662" s="51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</row>
    <row r="663" spans="1:18" x14ac:dyDescent="0.25">
      <c r="A663" s="50"/>
      <c r="B663" s="51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</row>
    <row r="664" spans="1:18" x14ac:dyDescent="0.25">
      <c r="A664" s="50"/>
      <c r="B664" s="51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1:18" x14ac:dyDescent="0.25">
      <c r="A665" s="50"/>
      <c r="B665" s="51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</row>
    <row r="666" spans="1:18" x14ac:dyDescent="0.25">
      <c r="A666" s="50"/>
      <c r="B666" s="51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</row>
    <row r="667" spans="1:18" x14ac:dyDescent="0.25">
      <c r="A667" s="50"/>
      <c r="B667" s="51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</row>
    <row r="668" spans="1:18" x14ac:dyDescent="0.25">
      <c r="A668" s="50"/>
      <c r="B668" s="51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1:18" x14ac:dyDescent="0.25">
      <c r="A669" s="50"/>
      <c r="B669" s="51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</row>
    <row r="670" spans="1:18" x14ac:dyDescent="0.25">
      <c r="A670" s="50"/>
      <c r="B670" s="51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</row>
    <row r="671" spans="1:18" x14ac:dyDescent="0.25">
      <c r="A671" s="50"/>
      <c r="B671" s="51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</row>
    <row r="672" spans="1:18" x14ac:dyDescent="0.25">
      <c r="A672" s="50"/>
      <c r="B672" s="51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1:18" x14ac:dyDescent="0.25">
      <c r="A673" s="50"/>
      <c r="B673" s="51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</row>
    <row r="674" spans="1:18" x14ac:dyDescent="0.25">
      <c r="A674" s="50"/>
      <c r="B674" s="51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</row>
    <row r="675" spans="1:18" x14ac:dyDescent="0.25">
      <c r="A675" s="50"/>
      <c r="B675" s="51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</row>
    <row r="676" spans="1:18" x14ac:dyDescent="0.25">
      <c r="A676" s="50"/>
      <c r="B676" s="51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1:18" x14ac:dyDescent="0.25">
      <c r="A677" s="50"/>
      <c r="B677" s="51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</row>
    <row r="678" spans="1:18" x14ac:dyDescent="0.25">
      <c r="A678" s="50"/>
      <c r="B678" s="51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</row>
    <row r="679" spans="1:18" x14ac:dyDescent="0.25">
      <c r="A679" s="50"/>
      <c r="B679" s="51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</row>
    <row r="680" spans="1:18" x14ac:dyDescent="0.25">
      <c r="A680" s="50"/>
      <c r="B680" s="51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1:18" x14ac:dyDescent="0.25">
      <c r="A681" s="50"/>
      <c r="B681" s="51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</row>
    <row r="682" spans="1:18" x14ac:dyDescent="0.25">
      <c r="A682" s="50"/>
      <c r="B682" s="51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</row>
    <row r="683" spans="1:18" x14ac:dyDescent="0.25">
      <c r="A683" s="50"/>
      <c r="B683" s="51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</row>
    <row r="684" spans="1:18" x14ac:dyDescent="0.25">
      <c r="A684" s="50"/>
      <c r="B684" s="51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1:18" x14ac:dyDescent="0.25">
      <c r="A685" s="50"/>
      <c r="B685" s="51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</row>
    <row r="686" spans="1:18" x14ac:dyDescent="0.25">
      <c r="A686" s="50"/>
      <c r="B686" s="51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</row>
    <row r="687" spans="1:18" x14ac:dyDescent="0.25">
      <c r="A687" s="50"/>
      <c r="B687" s="51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</row>
    <row r="688" spans="1:18" x14ac:dyDescent="0.25">
      <c r="A688" s="50"/>
      <c r="B688" s="51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1:18" x14ac:dyDescent="0.25">
      <c r="A689" s="50"/>
      <c r="B689" s="51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</row>
    <row r="690" spans="1:18" x14ac:dyDescent="0.25">
      <c r="A690" s="50"/>
      <c r="B690" s="51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</row>
    <row r="691" spans="1:18" x14ac:dyDescent="0.25">
      <c r="A691" s="50"/>
      <c r="B691" s="51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</row>
    <row r="692" spans="1:18" x14ac:dyDescent="0.25">
      <c r="A692" s="50"/>
      <c r="B692" s="51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1:18" x14ac:dyDescent="0.25">
      <c r="A693" s="50"/>
      <c r="B693" s="51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</row>
    <row r="694" spans="1:18" x14ac:dyDescent="0.25">
      <c r="A694" s="50"/>
      <c r="B694" s="51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</row>
    <row r="695" spans="1:18" x14ac:dyDescent="0.25">
      <c r="A695" s="50"/>
      <c r="B695" s="51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</row>
    <row r="696" spans="1:18" x14ac:dyDescent="0.25">
      <c r="A696" s="50"/>
      <c r="B696" s="51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1:18" x14ac:dyDescent="0.25">
      <c r="A697" s="50"/>
      <c r="B697" s="51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</row>
    <row r="698" spans="1:18" x14ac:dyDescent="0.25">
      <c r="A698" s="50"/>
      <c r="B698" s="51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</row>
    <row r="699" spans="1:18" x14ac:dyDescent="0.25">
      <c r="A699" s="50"/>
      <c r="B699" s="51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</row>
    <row r="700" spans="1:18" x14ac:dyDescent="0.25">
      <c r="A700" s="50"/>
      <c r="B700" s="51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1:18" x14ac:dyDescent="0.25">
      <c r="A701" s="50"/>
      <c r="B701" s="51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</row>
    <row r="702" spans="1:18" x14ac:dyDescent="0.25">
      <c r="A702" s="50"/>
      <c r="B702" s="51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</row>
    <row r="703" spans="1:18" x14ac:dyDescent="0.25">
      <c r="A703" s="50"/>
      <c r="B703" s="51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</row>
    <row r="704" spans="1:18" x14ac:dyDescent="0.25">
      <c r="A704" s="50"/>
      <c r="B704" s="51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1:18" x14ac:dyDescent="0.25">
      <c r="A705" s="50"/>
      <c r="B705" s="51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</row>
    <row r="706" spans="1:18" x14ac:dyDescent="0.25">
      <c r="A706" s="50"/>
      <c r="B706" s="51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</row>
    <row r="707" spans="1:18" x14ac:dyDescent="0.25">
      <c r="A707" s="50"/>
      <c r="B707" s="51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</row>
    <row r="708" spans="1:18" x14ac:dyDescent="0.25">
      <c r="A708" s="50"/>
      <c r="B708" s="51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1:18" x14ac:dyDescent="0.25">
      <c r="A709" s="50"/>
      <c r="B709" s="51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</row>
    <row r="710" spans="1:18" x14ac:dyDescent="0.25">
      <c r="A710" s="50"/>
      <c r="B710" s="51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</row>
    <row r="711" spans="1:18" x14ac:dyDescent="0.25">
      <c r="A711" s="50"/>
      <c r="B711" s="51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</row>
    <row r="712" spans="1:18" x14ac:dyDescent="0.25">
      <c r="A712" s="50"/>
      <c r="B712" s="51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1:18" x14ac:dyDescent="0.25">
      <c r="A713" s="50"/>
      <c r="B713" s="51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</row>
    <row r="714" spans="1:18" x14ac:dyDescent="0.25">
      <c r="A714" s="50"/>
      <c r="B714" s="51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</row>
    <row r="715" spans="1:18" x14ac:dyDescent="0.25">
      <c r="A715" s="50"/>
      <c r="B715" s="51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</row>
    <row r="716" spans="1:18" x14ac:dyDescent="0.25">
      <c r="A716" s="50"/>
      <c r="B716" s="51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1:18" x14ac:dyDescent="0.25">
      <c r="A717" s="50"/>
      <c r="B717" s="51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</row>
    <row r="718" spans="1:18" x14ac:dyDescent="0.25">
      <c r="A718" s="50"/>
      <c r="B718" s="51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</row>
    <row r="719" spans="1:18" x14ac:dyDescent="0.25">
      <c r="A719" s="50"/>
      <c r="B719" s="51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</row>
    <row r="720" spans="1:18" x14ac:dyDescent="0.25">
      <c r="A720" s="50"/>
      <c r="B720" s="51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1:18" x14ac:dyDescent="0.25">
      <c r="A721" s="50"/>
      <c r="B721" s="51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</row>
    <row r="722" spans="1:18" x14ac:dyDescent="0.25">
      <c r="A722" s="50"/>
      <c r="B722" s="51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</row>
    <row r="723" spans="1:18" x14ac:dyDescent="0.25">
      <c r="A723" s="50"/>
      <c r="B723" s="51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</row>
    <row r="724" spans="1:18" x14ac:dyDescent="0.25">
      <c r="A724" s="50"/>
      <c r="B724" s="51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1:18" x14ac:dyDescent="0.25">
      <c r="A725" s="50"/>
      <c r="B725" s="51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</row>
    <row r="726" spans="1:18" x14ac:dyDescent="0.25">
      <c r="A726" s="50"/>
      <c r="B726" s="51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</row>
    <row r="727" spans="1:18" x14ac:dyDescent="0.25">
      <c r="A727" s="50"/>
      <c r="B727" s="51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</row>
    <row r="728" spans="1:18" x14ac:dyDescent="0.25">
      <c r="A728" s="50"/>
      <c r="B728" s="51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1:18" x14ac:dyDescent="0.25">
      <c r="A729" s="50"/>
      <c r="B729" s="51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</row>
    <row r="730" spans="1:18" x14ac:dyDescent="0.25">
      <c r="A730" s="50"/>
      <c r="B730" s="51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</row>
    <row r="731" spans="1:18" x14ac:dyDescent="0.25">
      <c r="A731" s="50"/>
      <c r="B731" s="51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</row>
    <row r="732" spans="1:18" x14ac:dyDescent="0.25">
      <c r="A732" s="50"/>
      <c r="B732" s="51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1:18" x14ac:dyDescent="0.25">
      <c r="A733" s="50"/>
      <c r="B733" s="51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</row>
    <row r="734" spans="1:18" x14ac:dyDescent="0.25">
      <c r="A734" s="50"/>
      <c r="B734" s="51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</row>
    <row r="735" spans="1:18" x14ac:dyDescent="0.25">
      <c r="A735" s="50"/>
      <c r="B735" s="51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</row>
    <row r="736" spans="1:18" x14ac:dyDescent="0.25">
      <c r="A736" s="50"/>
      <c r="B736" s="51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1:18" x14ac:dyDescent="0.25">
      <c r="A737" s="50"/>
      <c r="B737" s="51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</row>
    <row r="738" spans="1:18" x14ac:dyDescent="0.25">
      <c r="A738" s="50"/>
      <c r="B738" s="51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</row>
    <row r="739" spans="1:18" x14ac:dyDescent="0.25">
      <c r="A739" s="50"/>
      <c r="B739" s="51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</row>
    <row r="740" spans="1:18" x14ac:dyDescent="0.25">
      <c r="A740" s="50"/>
      <c r="B740" s="51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1:18" x14ac:dyDescent="0.25">
      <c r="A741" s="50"/>
      <c r="B741" s="51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</row>
    <row r="742" spans="1:18" x14ac:dyDescent="0.25">
      <c r="A742" s="50"/>
      <c r="B742" s="51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</row>
    <row r="743" spans="1:18" x14ac:dyDescent="0.25">
      <c r="A743" s="50"/>
      <c r="B743" s="51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</row>
    <row r="744" spans="1:18" x14ac:dyDescent="0.25">
      <c r="A744" s="50"/>
      <c r="B744" s="51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1:18" x14ac:dyDescent="0.25">
      <c r="A745" s="50"/>
      <c r="B745" s="51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</row>
    <row r="746" spans="1:18" x14ac:dyDescent="0.25">
      <c r="A746" s="50"/>
      <c r="B746" s="51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</row>
    <row r="747" spans="1:18" x14ac:dyDescent="0.25">
      <c r="A747" s="50"/>
      <c r="B747" s="51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</row>
    <row r="748" spans="1:18" x14ac:dyDescent="0.25">
      <c r="A748" s="50"/>
      <c r="B748" s="51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1:18" x14ac:dyDescent="0.25">
      <c r="A749" s="50"/>
      <c r="B749" s="51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</row>
    <row r="750" spans="1:18" x14ac:dyDescent="0.25">
      <c r="A750" s="50"/>
      <c r="B750" s="51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</row>
    <row r="751" spans="1:18" x14ac:dyDescent="0.25">
      <c r="A751" s="50"/>
      <c r="B751" s="51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</row>
    <row r="752" spans="1:18" x14ac:dyDescent="0.25">
      <c r="A752" s="50"/>
      <c r="B752" s="51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1:18" x14ac:dyDescent="0.25">
      <c r="A753" s="50"/>
      <c r="B753" s="51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</row>
    <row r="754" spans="1:18" x14ac:dyDescent="0.25">
      <c r="A754" s="50"/>
      <c r="B754" s="51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</row>
    <row r="755" spans="1:18" x14ac:dyDescent="0.25">
      <c r="A755" s="50"/>
      <c r="B755" s="51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</row>
    <row r="756" spans="1:18" x14ac:dyDescent="0.25">
      <c r="A756" s="50"/>
      <c r="B756" s="51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1:18" x14ac:dyDescent="0.25">
      <c r="A757" s="50"/>
      <c r="B757" s="51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</row>
    <row r="758" spans="1:18" x14ac:dyDescent="0.25">
      <c r="A758" s="50"/>
      <c r="B758" s="51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</row>
    <row r="759" spans="1:18" x14ac:dyDescent="0.25">
      <c r="A759" s="50"/>
      <c r="B759" s="51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</row>
    <row r="760" spans="1:18" x14ac:dyDescent="0.25">
      <c r="A760" s="50"/>
      <c r="B760" s="51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1:18" x14ac:dyDescent="0.25">
      <c r="A761" s="50"/>
      <c r="B761" s="51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</row>
    <row r="762" spans="1:18" x14ac:dyDescent="0.25">
      <c r="A762" s="50"/>
      <c r="B762" s="51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</row>
    <row r="763" spans="1:18" x14ac:dyDescent="0.25">
      <c r="A763" s="50"/>
      <c r="B763" s="51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</row>
    <row r="764" spans="1:18" x14ac:dyDescent="0.25">
      <c r="A764" s="50"/>
      <c r="B764" s="51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1:18" x14ac:dyDescent="0.25">
      <c r="A765" s="50"/>
      <c r="B765" s="51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</row>
    <row r="766" spans="1:18" x14ac:dyDescent="0.25">
      <c r="A766" s="50"/>
      <c r="B766" s="51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</row>
    <row r="767" spans="1:18" x14ac:dyDescent="0.25">
      <c r="A767" s="50"/>
      <c r="B767" s="51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</row>
    <row r="768" spans="1:18" x14ac:dyDescent="0.25">
      <c r="A768" s="50"/>
      <c r="B768" s="51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1:18" x14ac:dyDescent="0.25">
      <c r="A769" s="50"/>
      <c r="B769" s="51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</row>
    <row r="770" spans="1:18" x14ac:dyDescent="0.25">
      <c r="A770" s="50"/>
      <c r="B770" s="51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</row>
    <row r="771" spans="1:18" x14ac:dyDescent="0.25">
      <c r="A771" s="50"/>
      <c r="B771" s="51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</row>
    <row r="772" spans="1:18" x14ac:dyDescent="0.25">
      <c r="A772" s="50"/>
      <c r="B772" s="51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1:18" x14ac:dyDescent="0.25">
      <c r="A773" s="50"/>
      <c r="B773" s="51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</row>
    <row r="774" spans="1:18" x14ac:dyDescent="0.25">
      <c r="A774" s="50"/>
      <c r="B774" s="51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</row>
    <row r="775" spans="1:18" x14ac:dyDescent="0.25">
      <c r="A775" s="50"/>
      <c r="B775" s="51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</row>
    <row r="776" spans="1:18" x14ac:dyDescent="0.25">
      <c r="A776" s="50"/>
      <c r="B776" s="51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1:18" x14ac:dyDescent="0.25">
      <c r="A777" s="50"/>
      <c r="B777" s="51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</row>
    <row r="778" spans="1:18" x14ac:dyDescent="0.25">
      <c r="A778" s="50"/>
      <c r="B778" s="51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</row>
    <row r="779" spans="1:18" x14ac:dyDescent="0.25">
      <c r="A779" s="50"/>
      <c r="B779" s="51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</row>
    <row r="780" spans="1:18" x14ac:dyDescent="0.25">
      <c r="A780" s="50"/>
      <c r="B780" s="51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1:18" x14ac:dyDescent="0.25">
      <c r="A781" s="50"/>
      <c r="B781" s="51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</row>
    <row r="782" spans="1:18" x14ac:dyDescent="0.25">
      <c r="A782" s="50"/>
      <c r="B782" s="51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</row>
    <row r="783" spans="1:18" x14ac:dyDescent="0.25">
      <c r="A783" s="50"/>
      <c r="B783" s="51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</row>
    <row r="784" spans="1:18" x14ac:dyDescent="0.25">
      <c r="A784" s="50"/>
      <c r="B784" s="51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1:18" x14ac:dyDescent="0.25">
      <c r="A785" s="50"/>
      <c r="B785" s="51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</row>
    <row r="786" spans="1:18" x14ac:dyDescent="0.25">
      <c r="A786" s="50"/>
      <c r="B786" s="51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</row>
    <row r="787" spans="1:18" x14ac:dyDescent="0.25">
      <c r="A787" s="50"/>
      <c r="B787" s="51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</row>
    <row r="788" spans="1:18" x14ac:dyDescent="0.25">
      <c r="A788" s="50"/>
      <c r="B788" s="51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1:18" x14ac:dyDescent="0.25">
      <c r="A789" s="50"/>
      <c r="B789" s="51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</row>
    <row r="790" spans="1:18" x14ac:dyDescent="0.25">
      <c r="A790" s="50"/>
      <c r="B790" s="51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</row>
    <row r="791" spans="1:18" x14ac:dyDescent="0.25">
      <c r="A791" s="50"/>
      <c r="B791" s="51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</row>
    <row r="792" spans="1:18" x14ac:dyDescent="0.25">
      <c r="A792" s="50"/>
      <c r="B792" s="51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1:18" x14ac:dyDescent="0.25">
      <c r="A793" s="50"/>
      <c r="B793" s="51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</row>
    <row r="794" spans="1:18" x14ac:dyDescent="0.25">
      <c r="A794" s="50"/>
      <c r="B794" s="51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</row>
    <row r="795" spans="1:18" x14ac:dyDescent="0.25">
      <c r="A795" s="50"/>
      <c r="B795" s="51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</row>
    <row r="796" spans="1:18" x14ac:dyDescent="0.25">
      <c r="A796" s="50"/>
      <c r="B796" s="51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1:18" x14ac:dyDescent="0.25">
      <c r="A797" s="50"/>
      <c r="B797" s="51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</row>
    <row r="798" spans="1:18" x14ac:dyDescent="0.25">
      <c r="A798" s="50"/>
      <c r="B798" s="51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</row>
    <row r="799" spans="1:18" x14ac:dyDescent="0.25">
      <c r="A799" s="50"/>
      <c r="B799" s="51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</row>
    <row r="800" spans="1:18" x14ac:dyDescent="0.25">
      <c r="A800" s="50"/>
      <c r="B800" s="51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1:18" x14ac:dyDescent="0.25">
      <c r="A801" s="50"/>
      <c r="B801" s="51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</row>
    <row r="802" spans="1:18" x14ac:dyDescent="0.25">
      <c r="A802" s="50"/>
      <c r="B802" s="51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</row>
    <row r="803" spans="1:18" x14ac:dyDescent="0.25">
      <c r="A803" s="50"/>
      <c r="B803" s="51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</row>
    <row r="804" spans="1:18" x14ac:dyDescent="0.25">
      <c r="A804" s="50"/>
      <c r="B804" s="51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1:18" x14ac:dyDescent="0.25">
      <c r="A805" s="50"/>
      <c r="B805" s="51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</row>
    <row r="806" spans="1:18" x14ac:dyDescent="0.25">
      <c r="A806" s="50"/>
      <c r="B806" s="51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</row>
    <row r="807" spans="1:18" x14ac:dyDescent="0.25">
      <c r="A807" s="50"/>
      <c r="B807" s="51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</row>
    <row r="808" spans="1:18" x14ac:dyDescent="0.25">
      <c r="A808" s="50"/>
      <c r="B808" s="51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1:18" x14ac:dyDescent="0.25">
      <c r="A809" s="50"/>
      <c r="B809" s="51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</row>
    <row r="810" spans="1:18" x14ac:dyDescent="0.25">
      <c r="A810" s="50"/>
      <c r="B810" s="51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</row>
    <row r="811" spans="1:18" x14ac:dyDescent="0.25">
      <c r="A811" s="50"/>
      <c r="B811" s="51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</row>
    <row r="812" spans="1:18" x14ac:dyDescent="0.25">
      <c r="A812" s="50"/>
      <c r="B812" s="51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1:18" x14ac:dyDescent="0.25">
      <c r="A813" s="50"/>
      <c r="B813" s="51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</row>
    <row r="814" spans="1:18" x14ac:dyDescent="0.25">
      <c r="A814" s="50"/>
      <c r="B814" s="51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</row>
    <row r="815" spans="1:18" x14ac:dyDescent="0.25">
      <c r="A815" s="50"/>
      <c r="B815" s="51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</row>
    <row r="816" spans="1:18" x14ac:dyDescent="0.25">
      <c r="A816" s="50"/>
      <c r="B816" s="51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1:18" x14ac:dyDescent="0.25">
      <c r="A817" s="50"/>
      <c r="B817" s="51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</row>
    <row r="818" spans="1:18" x14ac:dyDescent="0.25">
      <c r="A818" s="50"/>
      <c r="B818" s="51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</row>
    <row r="819" spans="1:18" x14ac:dyDescent="0.25">
      <c r="A819" s="50"/>
      <c r="B819" s="51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</row>
    <row r="820" spans="1:18" x14ac:dyDescent="0.25">
      <c r="A820" s="50"/>
      <c r="B820" s="51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1:18" x14ac:dyDescent="0.25">
      <c r="A821" s="50"/>
      <c r="B821" s="51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</row>
    <row r="822" spans="1:18" x14ac:dyDescent="0.25">
      <c r="A822" s="50"/>
      <c r="B822" s="51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</row>
    <row r="823" spans="1:18" x14ac:dyDescent="0.25">
      <c r="A823" s="50"/>
      <c r="B823" s="51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</row>
    <row r="824" spans="1:18" x14ac:dyDescent="0.25">
      <c r="A824" s="50"/>
      <c r="B824" s="51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1:18" x14ac:dyDescent="0.25">
      <c r="A825" s="50"/>
      <c r="B825" s="51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</row>
    <row r="826" spans="1:18" x14ac:dyDescent="0.25">
      <c r="A826" s="50"/>
      <c r="B826" s="51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</row>
    <row r="827" spans="1:18" x14ac:dyDescent="0.25">
      <c r="A827" s="50"/>
      <c r="B827" s="51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</row>
    <row r="828" spans="1:18" x14ac:dyDescent="0.25">
      <c r="A828" s="50"/>
      <c r="B828" s="51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1:18" x14ac:dyDescent="0.25">
      <c r="A829" s="50"/>
      <c r="B829" s="51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</row>
    <row r="830" spans="1:18" x14ac:dyDescent="0.25">
      <c r="A830" s="50"/>
      <c r="B830" s="51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</row>
    <row r="831" spans="1:18" x14ac:dyDescent="0.25">
      <c r="A831" s="50"/>
      <c r="B831" s="51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</row>
    <row r="832" spans="1:18" x14ac:dyDescent="0.25">
      <c r="A832" s="50"/>
      <c r="B832" s="51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1:18" x14ac:dyDescent="0.25">
      <c r="A833" s="50"/>
      <c r="B833" s="51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</row>
    <row r="834" spans="1:18" x14ac:dyDescent="0.25">
      <c r="A834" s="50"/>
      <c r="B834" s="51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</row>
    <row r="835" spans="1:18" x14ac:dyDescent="0.25">
      <c r="A835" s="50"/>
      <c r="B835" s="51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</row>
    <row r="836" spans="1:18" x14ac:dyDescent="0.25">
      <c r="A836" s="50"/>
      <c r="B836" s="51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1:18" x14ac:dyDescent="0.25">
      <c r="A837" s="50"/>
      <c r="B837" s="51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</row>
    <row r="838" spans="1:18" x14ac:dyDescent="0.25">
      <c r="A838" s="50"/>
      <c r="B838" s="51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</row>
    <row r="839" spans="1:18" x14ac:dyDescent="0.25">
      <c r="A839" s="50"/>
      <c r="B839" s="51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</row>
    <row r="840" spans="1:18" x14ac:dyDescent="0.25">
      <c r="A840" s="50"/>
      <c r="B840" s="51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1:18" x14ac:dyDescent="0.25">
      <c r="A841" s="50"/>
      <c r="B841" s="51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</row>
    <row r="842" spans="1:18" x14ac:dyDescent="0.25">
      <c r="A842" s="50"/>
      <c r="B842" s="51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</row>
    <row r="843" spans="1:18" x14ac:dyDescent="0.25">
      <c r="A843" s="50"/>
      <c r="B843" s="51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</row>
    <row r="844" spans="1:18" x14ac:dyDescent="0.25">
      <c r="A844" s="50"/>
      <c r="B844" s="51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1:18" x14ac:dyDescent="0.25">
      <c r="A845" s="50"/>
      <c r="B845" s="51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</row>
    <row r="846" spans="1:18" x14ac:dyDescent="0.25">
      <c r="A846" s="50"/>
      <c r="B846" s="51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</row>
    <row r="847" spans="1:18" x14ac:dyDescent="0.25">
      <c r="A847" s="50"/>
      <c r="B847" s="51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</row>
    <row r="848" spans="1:18" x14ac:dyDescent="0.25">
      <c r="A848" s="50"/>
      <c r="B848" s="51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1:18" x14ac:dyDescent="0.25">
      <c r="A849" s="50"/>
      <c r="B849" s="51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</row>
    <row r="850" spans="1:18" x14ac:dyDescent="0.25">
      <c r="A850" s="50"/>
      <c r="B850" s="51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</row>
    <row r="851" spans="1:18" x14ac:dyDescent="0.25">
      <c r="A851" s="50"/>
      <c r="B851" s="51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</row>
    <row r="852" spans="1:18" x14ac:dyDescent="0.25">
      <c r="A852" s="50"/>
      <c r="B852" s="51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1:18" x14ac:dyDescent="0.25">
      <c r="A853" s="50"/>
      <c r="B853" s="51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</row>
    <row r="854" spans="1:18" x14ac:dyDescent="0.25">
      <c r="A854" s="50"/>
      <c r="B854" s="51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</row>
    <row r="855" spans="1:18" x14ac:dyDescent="0.25">
      <c r="A855" s="50"/>
      <c r="B855" s="51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</row>
    <row r="856" spans="1:18" x14ac:dyDescent="0.25">
      <c r="A856" s="50"/>
      <c r="B856" s="51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1:18" x14ac:dyDescent="0.25">
      <c r="A857" s="50"/>
      <c r="B857" s="51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</row>
    <row r="858" spans="1:18" x14ac:dyDescent="0.25">
      <c r="A858" s="50"/>
      <c r="B858" s="51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</row>
    <row r="859" spans="1:18" x14ac:dyDescent="0.25">
      <c r="A859" s="50"/>
      <c r="B859" s="51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</row>
    <row r="860" spans="1:18" x14ac:dyDescent="0.25">
      <c r="A860" s="50"/>
      <c r="B860" s="51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1:18" x14ac:dyDescent="0.25">
      <c r="A861" s="50"/>
      <c r="B861" s="51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</row>
    <row r="862" spans="1:18" x14ac:dyDescent="0.25">
      <c r="A862" s="50"/>
      <c r="B862" s="51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</row>
    <row r="863" spans="1:18" x14ac:dyDescent="0.25">
      <c r="A863" s="50"/>
      <c r="B863" s="51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</row>
    <row r="864" spans="1:18" x14ac:dyDescent="0.25">
      <c r="A864" s="50"/>
      <c r="B864" s="51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1:18" x14ac:dyDescent="0.25">
      <c r="A865" s="50"/>
      <c r="B865" s="51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</row>
    <row r="866" spans="1:18" x14ac:dyDescent="0.25">
      <c r="A866" s="50"/>
      <c r="B866" s="51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</row>
    <row r="867" spans="1:18" x14ac:dyDescent="0.25">
      <c r="A867" s="50"/>
      <c r="B867" s="51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</row>
    <row r="868" spans="1:18" x14ac:dyDescent="0.25">
      <c r="A868" s="50"/>
      <c r="B868" s="51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1:18" x14ac:dyDescent="0.25">
      <c r="A869" s="50"/>
      <c r="B869" s="51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</row>
    <row r="870" spans="1:18" x14ac:dyDescent="0.25">
      <c r="A870" s="50"/>
      <c r="B870" s="51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</row>
    <row r="871" spans="1:18" x14ac:dyDescent="0.25">
      <c r="A871" s="50"/>
      <c r="B871" s="51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</row>
    <row r="872" spans="1:18" x14ac:dyDescent="0.25">
      <c r="A872" s="50"/>
      <c r="B872" s="51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1:18" x14ac:dyDescent="0.25">
      <c r="A873" s="50"/>
      <c r="B873" s="51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</row>
    <row r="874" spans="1:18" x14ac:dyDescent="0.25">
      <c r="A874" s="50"/>
      <c r="B874" s="51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</row>
    <row r="875" spans="1:18" x14ac:dyDescent="0.25">
      <c r="A875" s="50"/>
      <c r="B875" s="51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</row>
    <row r="876" spans="1:18" x14ac:dyDescent="0.25">
      <c r="A876" s="50"/>
      <c r="B876" s="51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1:18" x14ac:dyDescent="0.25">
      <c r="A877" s="50"/>
      <c r="B877" s="51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</row>
    <row r="878" spans="1:18" x14ac:dyDescent="0.25">
      <c r="A878" s="50"/>
      <c r="B878" s="51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</row>
    <row r="879" spans="1:18" x14ac:dyDescent="0.25">
      <c r="A879" s="50"/>
      <c r="B879" s="51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</row>
    <row r="880" spans="1:18" x14ac:dyDescent="0.25">
      <c r="A880" s="50"/>
      <c r="B880" s="51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1:18" x14ac:dyDescent="0.25">
      <c r="A881" s="50"/>
      <c r="B881" s="51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</row>
    <row r="882" spans="1:18" x14ac:dyDescent="0.25">
      <c r="A882" s="50"/>
      <c r="B882" s="51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</row>
    <row r="883" spans="1:18" x14ac:dyDescent="0.25">
      <c r="A883" s="50"/>
      <c r="B883" s="51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</row>
    <row r="884" spans="1:18" x14ac:dyDescent="0.25">
      <c r="A884" s="50"/>
      <c r="B884" s="51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1:18" x14ac:dyDescent="0.25">
      <c r="A885" s="50"/>
      <c r="B885" s="51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</row>
    <row r="886" spans="1:18" x14ac:dyDescent="0.25">
      <c r="A886" s="50"/>
      <c r="B886" s="51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</row>
    <row r="887" spans="1:18" x14ac:dyDescent="0.25">
      <c r="A887" s="50"/>
      <c r="B887" s="51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</row>
    <row r="888" spans="1:18" x14ac:dyDescent="0.25">
      <c r="A888" s="50"/>
      <c r="B888" s="51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1:18" x14ac:dyDescent="0.25">
      <c r="A889" s="50"/>
      <c r="B889" s="51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</row>
    <row r="890" spans="1:18" x14ac:dyDescent="0.25">
      <c r="A890" s="50"/>
      <c r="B890" s="51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</row>
    <row r="891" spans="1:18" x14ac:dyDescent="0.25">
      <c r="A891" s="50"/>
      <c r="B891" s="51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</row>
    <row r="892" spans="1:18" x14ac:dyDescent="0.25">
      <c r="A892" s="50"/>
      <c r="B892" s="51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1:18" x14ac:dyDescent="0.25">
      <c r="A893" s="50"/>
      <c r="B893" s="51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</row>
    <row r="894" spans="1:18" x14ac:dyDescent="0.25">
      <c r="A894" s="50"/>
      <c r="B894" s="51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</row>
    <row r="895" spans="1:18" x14ac:dyDescent="0.25">
      <c r="A895" s="50"/>
      <c r="B895" s="51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</row>
    <row r="896" spans="1:18" x14ac:dyDescent="0.25">
      <c r="A896" s="50"/>
      <c r="B896" s="51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1:18" x14ac:dyDescent="0.25">
      <c r="A897" s="50"/>
      <c r="B897" s="51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</row>
    <row r="898" spans="1:18" x14ac:dyDescent="0.25">
      <c r="A898" s="50"/>
      <c r="B898" s="51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</row>
    <row r="899" spans="1:18" x14ac:dyDescent="0.25">
      <c r="A899" s="50"/>
      <c r="B899" s="51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</row>
    <row r="900" spans="1:18" x14ac:dyDescent="0.25">
      <c r="A900" s="50"/>
      <c r="B900" s="51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1:18" x14ac:dyDescent="0.25">
      <c r="A901" s="50"/>
      <c r="B901" s="51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</row>
    <row r="902" spans="1:18" x14ac:dyDescent="0.25">
      <c r="A902" s="50"/>
      <c r="B902" s="51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</row>
    <row r="903" spans="1:18" x14ac:dyDescent="0.25">
      <c r="A903" s="50"/>
      <c r="B903" s="51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</row>
    <row r="904" spans="1:18" x14ac:dyDescent="0.25">
      <c r="A904" s="50"/>
      <c r="B904" s="51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1:18" x14ac:dyDescent="0.25">
      <c r="A905" s="50"/>
      <c r="B905" s="51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</row>
    <row r="906" spans="1:18" x14ac:dyDescent="0.25">
      <c r="A906" s="50"/>
      <c r="B906" s="51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</row>
    <row r="907" spans="1:18" x14ac:dyDescent="0.25">
      <c r="A907" s="50"/>
      <c r="B907" s="51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</row>
    <row r="908" spans="1:18" x14ac:dyDescent="0.25">
      <c r="A908" s="50"/>
      <c r="B908" s="51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1:18" x14ac:dyDescent="0.25">
      <c r="A909" s="50"/>
      <c r="B909" s="51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</row>
    <row r="910" spans="1:18" x14ac:dyDescent="0.25">
      <c r="A910" s="50"/>
      <c r="B910" s="51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</row>
    <row r="911" spans="1:18" x14ac:dyDescent="0.25">
      <c r="A911" s="50"/>
      <c r="B911" s="51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</row>
    <row r="912" spans="1:18" x14ac:dyDescent="0.25">
      <c r="A912" s="50"/>
      <c r="B912" s="51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1:18" x14ac:dyDescent="0.25">
      <c r="A913" s="50"/>
      <c r="B913" s="51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</row>
    <row r="914" spans="1:18" x14ac:dyDescent="0.25">
      <c r="A914" s="50"/>
      <c r="B914" s="51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</row>
    <row r="915" spans="1:18" x14ac:dyDescent="0.25">
      <c r="A915" s="50"/>
      <c r="B915" s="51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</row>
    <row r="916" spans="1:18" x14ac:dyDescent="0.25">
      <c r="A916" s="50"/>
      <c r="B916" s="51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1:18" x14ac:dyDescent="0.25">
      <c r="A917" s="50"/>
      <c r="B917" s="51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</row>
    <row r="918" spans="1:18" x14ac:dyDescent="0.25">
      <c r="A918" s="50"/>
      <c r="B918" s="51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</row>
    <row r="919" spans="1:18" x14ac:dyDescent="0.25">
      <c r="A919" s="50"/>
      <c r="B919" s="51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</row>
    <row r="920" spans="1:18" x14ac:dyDescent="0.25">
      <c r="A920" s="50"/>
      <c r="B920" s="51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1:18" x14ac:dyDescent="0.25">
      <c r="A921" s="50"/>
      <c r="B921" s="51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</row>
    <row r="922" spans="1:18" x14ac:dyDescent="0.25">
      <c r="A922" s="50"/>
      <c r="B922" s="51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</row>
    <row r="923" spans="1:18" x14ac:dyDescent="0.25">
      <c r="A923" s="50"/>
      <c r="B923" s="51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</row>
    <row r="924" spans="1:18" x14ac:dyDescent="0.25">
      <c r="A924" s="50"/>
      <c r="B924" s="51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1:18" x14ac:dyDescent="0.25">
      <c r="A925" s="50"/>
      <c r="B925" s="51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</row>
    <row r="926" spans="1:18" x14ac:dyDescent="0.25">
      <c r="A926" s="50"/>
      <c r="B926" s="51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</row>
    <row r="927" spans="1:18" x14ac:dyDescent="0.25">
      <c r="A927" s="50"/>
      <c r="B927" s="51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</row>
    <row r="928" spans="1:18" x14ac:dyDescent="0.25">
      <c r="A928" s="50"/>
      <c r="B928" s="51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1:18" x14ac:dyDescent="0.25">
      <c r="A929" s="50"/>
      <c r="B929" s="51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</row>
    <row r="930" spans="1:18" x14ac:dyDescent="0.25">
      <c r="A930" s="50"/>
      <c r="B930" s="51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</row>
    <row r="931" spans="1:18" x14ac:dyDescent="0.25">
      <c r="A931" s="50"/>
      <c r="B931" s="51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</row>
    <row r="932" spans="1:18" x14ac:dyDescent="0.25">
      <c r="A932" s="50"/>
      <c r="B932" s="51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1:18" x14ac:dyDescent="0.25">
      <c r="A933" s="50"/>
      <c r="B933" s="51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</row>
    <row r="934" spans="1:18" x14ac:dyDescent="0.25">
      <c r="A934" s="50"/>
      <c r="B934" s="51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</row>
    <row r="935" spans="1:18" x14ac:dyDescent="0.25">
      <c r="A935" s="50"/>
      <c r="B935" s="51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</row>
    <row r="936" spans="1:18" x14ac:dyDescent="0.25">
      <c r="A936" s="50"/>
      <c r="B936" s="51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1:18" x14ac:dyDescent="0.25">
      <c r="A937" s="50"/>
      <c r="B937" s="51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</row>
    <row r="938" spans="1:18" x14ac:dyDescent="0.25">
      <c r="A938" s="50"/>
      <c r="B938" s="51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</row>
    <row r="939" spans="1:18" x14ac:dyDescent="0.25">
      <c r="A939" s="50"/>
      <c r="B939" s="51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</row>
    <row r="940" spans="1:18" x14ac:dyDescent="0.25">
      <c r="A940" s="50"/>
      <c r="B940" s="51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1:18" x14ac:dyDescent="0.25">
      <c r="A941" s="50"/>
      <c r="B941" s="51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</row>
    <row r="942" spans="1:18" x14ac:dyDescent="0.25">
      <c r="A942" s="50"/>
      <c r="B942" s="51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</row>
    <row r="943" spans="1:18" x14ac:dyDescent="0.25">
      <c r="A943" s="50"/>
      <c r="B943" s="51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</row>
    <row r="944" spans="1:18" x14ac:dyDescent="0.25">
      <c r="A944" s="50"/>
      <c r="B944" s="51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1:18" x14ac:dyDescent="0.25">
      <c r="A945" s="50"/>
      <c r="B945" s="51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</row>
    <row r="946" spans="1:18" x14ac:dyDescent="0.25">
      <c r="A946" s="50"/>
      <c r="B946" s="51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</row>
    <row r="947" spans="1:18" x14ac:dyDescent="0.25">
      <c r="A947" s="50"/>
      <c r="B947" s="51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</row>
    <row r="948" spans="1:18" x14ac:dyDescent="0.25">
      <c r="A948" s="50"/>
      <c r="B948" s="51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1:18" x14ac:dyDescent="0.25">
      <c r="A949" s="50"/>
      <c r="B949" s="51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</row>
    <row r="950" spans="1:18" x14ac:dyDescent="0.25">
      <c r="A950" s="50"/>
      <c r="B950" s="51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</row>
    <row r="951" spans="1:18" x14ac:dyDescent="0.25">
      <c r="A951" s="50"/>
      <c r="B951" s="51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</row>
    <row r="952" spans="1:18" x14ac:dyDescent="0.25">
      <c r="A952" s="50"/>
      <c r="B952" s="51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1:18" x14ac:dyDescent="0.25">
      <c r="A953" s="50"/>
      <c r="B953" s="51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</row>
    <row r="954" spans="1:18" x14ac:dyDescent="0.25">
      <c r="A954" s="50"/>
      <c r="B954" s="51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</row>
    <row r="955" spans="1:18" x14ac:dyDescent="0.25">
      <c r="A955" s="50"/>
      <c r="B955" s="51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</row>
    <row r="956" spans="1:18" x14ac:dyDescent="0.25">
      <c r="A956" s="50"/>
      <c r="B956" s="51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1:18" x14ac:dyDescent="0.25">
      <c r="A957" s="50"/>
      <c r="B957" s="51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</row>
    <row r="958" spans="1:18" x14ac:dyDescent="0.25">
      <c r="A958" s="50"/>
      <c r="B958" s="51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</row>
    <row r="959" spans="1:18" x14ac:dyDescent="0.25">
      <c r="A959" s="50"/>
      <c r="B959" s="51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</row>
    <row r="960" spans="1:18" x14ac:dyDescent="0.25">
      <c r="A960" s="50"/>
      <c r="B960" s="51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1:18" x14ac:dyDescent="0.25">
      <c r="A961" s="50"/>
      <c r="B961" s="51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</row>
    <row r="962" spans="1:18" x14ac:dyDescent="0.25">
      <c r="A962" s="50"/>
      <c r="B962" s="51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</row>
    <row r="963" spans="1:18" x14ac:dyDescent="0.25">
      <c r="A963" s="50"/>
      <c r="B963" s="51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</row>
    <row r="964" spans="1:18" x14ac:dyDescent="0.25">
      <c r="A964" s="50"/>
      <c r="B964" s="51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1:18" x14ac:dyDescent="0.25">
      <c r="A965" s="50"/>
      <c r="B965" s="51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</row>
    <row r="966" spans="1:18" x14ac:dyDescent="0.25">
      <c r="A966" s="50"/>
      <c r="B966" s="51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</row>
    <row r="967" spans="1:18" x14ac:dyDescent="0.25">
      <c r="A967" s="50"/>
      <c r="B967" s="51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</row>
    <row r="968" spans="1:18" x14ac:dyDescent="0.25">
      <c r="A968" s="50"/>
      <c r="B968" s="51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1:18" x14ac:dyDescent="0.25">
      <c r="A969" s="50"/>
      <c r="B969" s="51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</row>
    <row r="970" spans="1:18" x14ac:dyDescent="0.25">
      <c r="A970" s="50"/>
      <c r="B970" s="51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</row>
    <row r="971" spans="1:18" x14ac:dyDescent="0.25">
      <c r="A971" s="50"/>
      <c r="B971" s="51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</row>
    <row r="972" spans="1:18" x14ac:dyDescent="0.25">
      <c r="A972" s="50"/>
      <c r="B972" s="51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1:18" x14ac:dyDescent="0.25">
      <c r="A973" s="50"/>
      <c r="B973" s="51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</row>
    <row r="974" spans="1:18" x14ac:dyDescent="0.25">
      <c r="A974" s="50"/>
      <c r="B974" s="51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</row>
    <row r="975" spans="1:18" x14ac:dyDescent="0.25">
      <c r="A975" s="50"/>
      <c r="B975" s="51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</row>
  </sheetData>
  <autoFilter ref="$M$38:$M$55"/>
  <mergeCells count="5">
    <mergeCell ref="A1:O4"/>
    <mergeCell ref="A6:O7"/>
    <mergeCell ref="H12:J12"/>
    <mergeCell ref="B13:C13"/>
    <mergeCell ref="H13:J13"/>
  </mergeCells>
  <dataValidations count="4">
    <dataValidation type="list" allowBlank="1" showErrorMessage="1" sqref="B15:B22">
      <formula1>"CARTERA,VENTA,OTRO"</formula1>
    </dataValidation>
    <dataValidation type="list" allowBlank="1" showErrorMessage="1" sqref="C40:C55">
      <formula1>"CARTERA,VENTA,OTRO"</formula1>
    </dataValidation>
    <dataValidation type="list" allowBlank="1" showErrorMessage="1" sqref="H15:H32">
      <formula1>"Comisiones,Herramientas,Impuestos,Nómina,Otros,Proveedores,Publicidad,Viajes,Mentores,Educacion"</formula1>
    </dataValidation>
    <dataValidation type="list" allowBlank="1" showErrorMessage="1" sqref="M40:M55">
      <formula1>"Comisiones,Herramientas,Impuestos,Nómina,Otros,Proveedores,Publicidad,Viajes,Mentores,Educacion"</formula1>
    </dataValidation>
  </dataValidations>
  <tableParts count="1">
    <tablePart r:id="rId3"/>
  </tablePart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2"/>
  <sheetViews>
    <sheetView workbookViewId="0" zoomScale="100" zoomScaleNormal="100"/>
  </sheetViews>
  <sheetFormatPr defaultRowHeight="15.75" outlineLevelRow="0" outlineLevelCol="0" x14ac:dyDescent="0" defaultColWidth="12.63" customHeight="1"/>
  <cols>
    <col min="3" max="3" width="18.38" customWidth="1"/>
    <col min="4" max="4" width="17.5" customWidth="1"/>
  </cols>
  <sheetData>
    <row r="1" spans="1:20" x14ac:dyDescent="0.25">
      <c r="A1" s="49" t="s">
        <v>17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2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1:20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20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20" x14ac:dyDescent="0.25"/>
    <row r="6" spans="1:20" x14ac:dyDescent="0.25"/>
    <row r="7" spans="1:20" x14ac:dyDescent="0.25"/>
    <row r="8" spans="1:26" x14ac:dyDescent="0.2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x14ac:dyDescent="0.25">
      <c r="A9" s="97"/>
      <c r="B9" s="97"/>
      <c r="C9" s="98" t="s">
        <v>0</v>
      </c>
      <c r="D9" s="58"/>
      <c r="E9" s="58"/>
      <c r="F9" s="58"/>
      <c r="G9" s="58"/>
      <c r="H9" s="58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33" customHeight="1" spans="1:26" x14ac:dyDescent="0.25">
      <c r="A10" s="99"/>
      <c r="B10" s="99"/>
      <c r="C10" s="100" t="s">
        <v>3</v>
      </c>
      <c r="D10" s="101" t="s">
        <v>41</v>
      </c>
      <c r="E10" s="101" t="s">
        <v>42</v>
      </c>
      <c r="F10" s="101" t="s">
        <v>43</v>
      </c>
      <c r="G10" s="101" t="s">
        <v>44</v>
      </c>
      <c r="H10" s="101" t="s">
        <v>45</v>
      </c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x14ac:dyDescent="0.25">
      <c r="A11" s="96"/>
      <c r="B11" s="96"/>
      <c r="C11" s="102" t="s">
        <v>24</v>
      </c>
      <c r="D11" s="103">
        <f>'INFORME MES '!C15</f>
        <v>543000000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x14ac:dyDescent="0.25">
      <c r="A12" s="96"/>
      <c r="B12" s="96"/>
      <c r="C12" s="102" t="s">
        <v>26</v>
      </c>
      <c r="D12" s="103">
        <f>'INFORME MES '!C16</f>
        <v>30000000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x14ac:dyDescent="0.25">
      <c r="A13" s="96"/>
      <c r="B13" s="96"/>
      <c r="C13" s="102" t="s">
        <v>28</v>
      </c>
      <c r="D13" s="103">
        <f>'INFORME MES '!C17</f>
        <v>40000000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x14ac:dyDescent="0.25">
      <c r="A14" s="96"/>
      <c r="B14" s="96"/>
      <c r="C14" s="102"/>
      <c r="D14" s="103">
        <f>'INFORME MES '!C18</f>
        <v>0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x14ac:dyDescent="0.25">
      <c r="A15" s="96"/>
      <c r="B15" s="96"/>
      <c r="C15" s="102"/>
      <c r="D15" s="103">
        <f>'INFORME MES '!C19</f>
        <v>0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6"/>
      <c r="B16" s="96"/>
      <c r="C16" s="102"/>
      <c r="D16" s="103">
        <f>'INFORME MES '!C20</f>
        <v>0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6"/>
      <c r="B17" s="96"/>
      <c r="C17" s="102"/>
      <c r="D17" s="103">
        <f>'INFORME MES '!C21</f>
        <v>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6"/>
      <c r="B18" s="96"/>
      <c r="C18" s="102"/>
      <c r="D18" s="103">
        <f>'INFORME MES '!C22</f>
        <v>0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6"/>
      <c r="B19" s="96"/>
      <c r="C19" s="104"/>
      <c r="D19" s="105">
        <f>SUM(D11:D18)</f>
        <v>613000000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x14ac:dyDescent="0.25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x14ac:dyDescent="0.25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x14ac:dyDescent="0.25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x14ac:dyDescent="0.25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x14ac:dyDescent="0.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x14ac:dyDescent="0.25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x14ac:dyDescent="0.25">
      <c r="A27" s="97"/>
      <c r="B27" s="97"/>
      <c r="C27" s="106" t="s">
        <v>46</v>
      </c>
      <c r="D27"/>
      <c r="E27"/>
      <c r="F27"/>
      <c r="G27"/>
      <c r="H2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x14ac:dyDescent="0.25">
      <c r="A28" s="107"/>
      <c r="B28" s="107"/>
      <c r="C28" s="108" t="s">
        <v>21</v>
      </c>
      <c r="D28" s="108" t="s">
        <v>41</v>
      </c>
      <c r="E28" s="108" t="s">
        <v>42</v>
      </c>
      <c r="F28" s="108" t="s">
        <v>43</v>
      </c>
      <c r="G28" s="108" t="s">
        <v>44</v>
      </c>
      <c r="H28" s="108" t="s">
        <v>45</v>
      </c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x14ac:dyDescent="0.25">
      <c r="A29" s="96"/>
      <c r="B29" s="96"/>
      <c r="C29" s="109" t="s">
        <v>25</v>
      </c>
      <c r="D29" s="110">
        <f>'INFORME MES '!J15</f>
        <v>21000000</v>
      </c>
      <c r="E29" s="111"/>
      <c r="F29" s="111"/>
      <c r="G29" s="111"/>
      <c r="H29" s="111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x14ac:dyDescent="0.25">
      <c r="A30" s="96"/>
      <c r="B30" s="96"/>
      <c r="C30" s="109" t="s">
        <v>27</v>
      </c>
      <c r="D30" s="110">
        <f>'INFORME MES '!J16</f>
        <v>15000000</v>
      </c>
      <c r="E30" s="111"/>
      <c r="F30" s="111"/>
      <c r="G30" s="111"/>
      <c r="H30" s="111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x14ac:dyDescent="0.25">
      <c r="A31" s="96"/>
      <c r="B31" s="96"/>
      <c r="C31" s="109" t="s">
        <v>29</v>
      </c>
      <c r="D31" s="110">
        <f>'INFORME MES '!J17</f>
        <v>18000000</v>
      </c>
      <c r="E31" s="111"/>
      <c r="F31" s="111"/>
      <c r="G31" s="111"/>
      <c r="H31" s="111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x14ac:dyDescent="0.25">
      <c r="A32" s="96"/>
      <c r="B32" s="96"/>
      <c r="C32" s="109" t="s">
        <v>30</v>
      </c>
      <c r="D32" s="110">
        <f>'INFORME MES '!J18</f>
        <v>20000000</v>
      </c>
      <c r="E32" s="111"/>
      <c r="F32" s="111"/>
      <c r="G32" s="111"/>
      <c r="H32" s="111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x14ac:dyDescent="0.25">
      <c r="A33" s="96"/>
      <c r="B33" s="96"/>
      <c r="C33" s="109" t="s">
        <v>31</v>
      </c>
      <c r="D33" s="110">
        <f>'INFORME MES '!J19</f>
        <v>19000000</v>
      </c>
      <c r="E33" s="111"/>
      <c r="F33" s="111"/>
      <c r="G33" s="111"/>
      <c r="H33" s="111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x14ac:dyDescent="0.25">
      <c r="A34" s="96"/>
      <c r="B34" s="96"/>
      <c r="C34" s="109" t="s">
        <v>32</v>
      </c>
      <c r="D34" s="110">
        <f>'INFORME MES '!J20</f>
        <v>11000000</v>
      </c>
      <c r="E34" s="111"/>
      <c r="F34" s="111"/>
      <c r="G34" s="111"/>
      <c r="H34" s="111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x14ac:dyDescent="0.25">
      <c r="A35" s="96"/>
      <c r="B35" s="96"/>
      <c r="C35" s="109" t="s">
        <v>33</v>
      </c>
      <c r="D35" s="110">
        <f>'INFORME MES '!J21</f>
        <v>10000000</v>
      </c>
      <c r="E35" s="111"/>
      <c r="F35" s="111"/>
      <c r="G35" s="111"/>
      <c r="H35" s="111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x14ac:dyDescent="0.25">
      <c r="A36" s="96"/>
      <c r="B36" s="96"/>
      <c r="C36" s="109" t="s">
        <v>34</v>
      </c>
      <c r="D36" s="110">
        <f>'INFORME MES '!J22</f>
        <v>15000000</v>
      </c>
      <c r="E36" s="111"/>
      <c r="F36" s="111"/>
      <c r="G36" s="111"/>
      <c r="H36" s="111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x14ac:dyDescent="0.25">
      <c r="A37" s="96"/>
      <c r="B37" s="96"/>
      <c r="C37" s="109" t="s">
        <v>35</v>
      </c>
      <c r="D37" s="110">
        <f>'INFORME MES '!J23</f>
        <v>15000000</v>
      </c>
      <c r="E37" s="111"/>
      <c r="F37" s="111"/>
      <c r="G37" s="111"/>
      <c r="H37" s="111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x14ac:dyDescent="0.25">
      <c r="A38" s="96"/>
      <c r="B38" s="96"/>
      <c r="C38" s="109" t="s">
        <v>36</v>
      </c>
      <c r="D38" s="110">
        <f>'INFORME MES '!J24</f>
        <v>7000000</v>
      </c>
      <c r="E38" s="111"/>
      <c r="F38" s="111"/>
      <c r="G38" s="111"/>
      <c r="H38" s="111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x14ac:dyDescent="0.25">
      <c r="A39" s="96"/>
      <c r="B39" s="96"/>
      <c r="C39" s="109"/>
      <c r="D39" s="111"/>
      <c r="E39" s="111"/>
      <c r="F39" s="111"/>
      <c r="G39" s="111"/>
      <c r="H39" s="111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x14ac:dyDescent="0.25">
      <c r="A40" s="96"/>
      <c r="B40" s="96"/>
      <c r="C40" s="112"/>
      <c r="D40" s="111"/>
      <c r="E40" s="111"/>
      <c r="F40" s="111"/>
      <c r="G40" s="111"/>
      <c r="H40" s="111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x14ac:dyDescent="0.25">
      <c r="A41" s="96"/>
      <c r="B41" s="96"/>
      <c r="C41" s="112"/>
      <c r="D41" s="111"/>
      <c r="E41" s="111"/>
      <c r="F41" s="111"/>
      <c r="G41" s="111"/>
      <c r="H41" s="111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x14ac:dyDescent="0.25">
      <c r="A42" s="96"/>
      <c r="B42" s="96"/>
      <c r="C42" s="112"/>
      <c r="D42" s="111"/>
      <c r="E42" s="111"/>
      <c r="F42" s="111"/>
      <c r="G42" s="111"/>
      <c r="H42" s="111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x14ac:dyDescent="0.25">
      <c r="A43" s="96"/>
      <c r="B43" s="96"/>
      <c r="C43" s="112"/>
      <c r="D43" s="111"/>
      <c r="E43" s="111"/>
      <c r="F43" s="111"/>
      <c r="G43" s="111"/>
      <c r="H43" s="111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x14ac:dyDescent="0.25">
      <c r="A44" s="96"/>
      <c r="B44" s="96"/>
      <c r="C44" s="104"/>
      <c r="D44" s="105">
        <f t="shared" ref="D44:I44" si="0">SUM(D29:D43)</f>
        <v>151000000</v>
      </c>
      <c r="E44" s="105">
        <f t="shared" si="0"/>
        <v>0</v>
      </c>
      <c r="F44" s="105">
        <f t="shared" si="0"/>
        <v>0</v>
      </c>
      <c r="G44" s="105">
        <f t="shared" si="0"/>
        <v>0</v>
      </c>
      <c r="H44" s="105">
        <f t="shared" si="0"/>
        <v>0</v>
      </c>
      <c r="I44" s="105">
        <f t="shared" si="0"/>
        <v>0</v>
      </c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x14ac:dyDescent="0.2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x14ac:dyDescent="0.25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x14ac:dyDescent="0.25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x14ac:dyDescent="0.25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x14ac:dyDescent="0.25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x14ac:dyDescent="0.25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x14ac:dyDescent="0.25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x14ac:dyDescent="0.2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x14ac:dyDescent="0.25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x14ac:dyDescent="0.25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x14ac:dyDescent="0.2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x14ac:dyDescent="0.25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x14ac:dyDescent="0.25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x14ac:dyDescent="0.25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x14ac:dyDescent="0.25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x14ac:dyDescent="0.25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x14ac:dyDescent="0.25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x14ac:dyDescent="0.25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</sheetData>
  <mergeCells count="3">
    <mergeCell ref="A1:O4"/>
    <mergeCell ref="C9:H9"/>
    <mergeCell ref="C27:H27"/>
  </mergeCells>
  <dataValidations count="2">
    <dataValidation type="list" allowBlank="1" showErrorMessage="1" sqref="C11:C18">
      <formula1>"CARTERA,VENTA,OTRO"</formula1>
    </dataValidation>
    <dataValidation type="list" allowBlank="1" showErrorMessage="1" sqref="C29:C43">
      <formula1>"Comisiones,Herramientas,Impuestos,Nómina,Otros,Proveedores,Publicidad,Viajes,Mentores,Educacion"</formula1>
    </dataValidation>
  </dataValidation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INGRESOS</vt:lpstr>
      <vt:lpstr>GASTOS</vt:lpstr>
      <vt:lpstr>INFORME MES </vt:lpstr>
      <vt:lpstr>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2026-04-01T05:33:02Z</dcterms:created>
  <dcterms:modified xsi:type="dcterms:W3CDTF">2026-04-01T05:33:02Z</dcterms:modified>
</cp:coreProperties>
</file>